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bin" ContentType="application/vnd.ms-excel.table"/>
  <Override PartName="/xl/comments2.bin" ContentType="application/vnd.ms-excel.comments"/>
  <Override PartName="/xl/printerSettings/printerSettings3.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comments3.bin" ContentType="application/vnd.ms-excel.comments"/>
  <Override PartName="/xl/drawings/drawing4.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6.bin" ContentType="application/vnd.openxmlformats-officedocument.spreadsheetml.printerSettings"/>
  <Override PartName="/xl/comments6.bin" ContentType="application/vnd.ms-excel.comments"/>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comments7.bin" ContentType="application/vnd.ms-excel.comments"/>
  <Override PartName="/xl/threadedComments/threadedComment3.xml" ContentType="application/vnd.ms-excel.threadedcomments+xml"/>
  <Override PartName="/xl/drawings/drawing9.xml" ContentType="application/vnd.openxmlformats-officedocument.drawing+xml"/>
  <Override PartName="/xl/printerSettings/printerSettings9.bin" ContentType="application/vnd.openxmlformats-officedocument.spreadsheetml.printerSettings"/>
  <Override PartName="/xl/drawings/drawing10.xml" ContentType="application/vnd.openxmlformats-officedocument.drawing+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eetMetadata" Target="metadata.bin"/><Relationship Id="rId3" Type="http://schemas.openxmlformats.org/officeDocument/2006/relationships/worksheet" Target="worksheets/sheet3.bin"/><Relationship Id="rId21" Type="http://schemas.openxmlformats.org/officeDocument/2006/relationships/customXml" Target="../customXml/item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bin"/><Relationship Id="rId19" Type="http://schemas.microsoft.com/office/2017/10/relationships/person" Target="persons/person.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1.bin"/><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30077258399585"/>
          <c:y val="0.10472846169236887"/>
          <c:w val="0.75789133214004889"/>
          <c:h val="0.72922414497834154"/>
        </c:manualLayout>
      </c:layout>
      <c:scatterChart>
        <c:scatterStyle val="lineMarker"/>
        <c:varyColors val="0"/>
        <c:ser>
          <c:idx val="0"/>
          <c:order val="0"/>
          <c:tx>
            <c:strRef>
              <c:f>Dashboard!$H$74</c:f>
              <c:strCache>
                <c:ptCount val="1"/>
                <c:pt idx="0">
                  <c:v>No Tax Credits</c:v>
                </c:pt>
              </c:strCache>
            </c:strRef>
          </c:tx>
          <c:spPr>
            <a:ln w="25400" cap="rnd">
              <a:solidFill>
                <a:schemeClr val="accent1"/>
              </a:solidFill>
              <a:round/>
            </a:ln>
            <a:effectLst/>
          </c:spPr>
          <c:marker>
            <c:symbol val="none"/>
          </c:marker>
          <c:xVal>
            <c:numRef>
              <c:f>Dashboard!$E$77:$E$82</c:f>
              <c:numCache>
                <c:formatCode>"$"#,##0</c:formatCode>
                <c:ptCount val="6"/>
                <c:pt idx="0">
                  <c:v>10</c:v>
                </c:pt>
                <c:pt idx="1">
                  <c:v>26</c:v>
                </c:pt>
                <c:pt idx="2">
                  <c:v>42</c:v>
                </c:pt>
                <c:pt idx="3">
                  <c:v>58</c:v>
                </c:pt>
                <c:pt idx="4">
                  <c:v>74</c:v>
                </c:pt>
                <c:pt idx="5">
                  <c:v>90</c:v>
                </c:pt>
              </c:numCache>
            </c:numRef>
          </c:xVal>
          <c:yVal>
            <c:numRef>
              <c:f>Dashboard!$H$77:$H$82</c:f>
              <c:numCache>
                <c:formatCode>"$"#,###,,\ "M"</c:formatCode>
                <c:ptCount val="6"/>
                <c:pt idx="0">
                  <c:v>762911812.47059715</c:v>
                </c:pt>
                <c:pt idx="1">
                  <c:v>201947244.47751111</c:v>
                </c:pt>
                <c:pt idx="2">
                  <c:v>-266606264.44266599</c:v>
                </c:pt>
                <c:pt idx="3">
                  <c:v>-683178552.63433182</c:v>
                </c:pt>
                <c:pt idx="4">
                  <c:v>-1099750840.8259978</c:v>
                </c:pt>
                <c:pt idx="5">
                  <c:v>-1516323129.0176632</c:v>
                </c:pt>
              </c:numCache>
            </c:numRef>
          </c:yVal>
          <c:smooth val="0"/>
          <c:extLst>
            <c:ext xmlns:c16="http://schemas.microsoft.com/office/drawing/2014/chart" uri="{C3380CC4-5D6E-409C-BE32-E72D297353CC}">
              <c16:uniqueId val="{00000001-BBEF-420F-A131-EA071B64CCA9}"/>
            </c:ext>
          </c:extLst>
        </c:ser>
        <c:ser>
          <c:idx val="1"/>
          <c:order val="1"/>
          <c:tx>
            <c:strRef>
              <c:f>Dashboard!$K$74</c:f>
              <c:strCache>
                <c:ptCount val="1"/>
                <c:pt idx="0">
                  <c:v>With Tax Credits</c:v>
                </c:pt>
              </c:strCache>
            </c:strRef>
          </c:tx>
          <c:spPr>
            <a:ln w="25400" cap="rnd">
              <a:solidFill>
                <a:schemeClr val="accent2"/>
              </a:solidFill>
              <a:prstDash val="dash"/>
              <a:round/>
            </a:ln>
            <a:effectLst/>
          </c:spPr>
          <c:marker>
            <c:symbol val="none"/>
          </c:marker>
          <c:xVal>
            <c:numRef>
              <c:f>Dashboard!$E$77:$E$82</c:f>
              <c:numCache>
                <c:formatCode>"$"#,##0</c:formatCode>
                <c:ptCount val="6"/>
                <c:pt idx="0">
                  <c:v>10</c:v>
                </c:pt>
                <c:pt idx="1">
                  <c:v>26</c:v>
                </c:pt>
                <c:pt idx="2">
                  <c:v>42</c:v>
                </c:pt>
                <c:pt idx="3">
                  <c:v>58</c:v>
                </c:pt>
                <c:pt idx="4">
                  <c:v>74</c:v>
                </c:pt>
                <c:pt idx="5">
                  <c:v>90</c:v>
                </c:pt>
              </c:numCache>
            </c:numRef>
          </c:xVal>
          <c:yVal>
            <c:numRef>
              <c:f>Dashboard!$K$77:$K$82</c:f>
              <c:numCache>
                <c:formatCode>"$"#,###,,\ "M"</c:formatCode>
                <c:ptCount val="6"/>
                <c:pt idx="0">
                  <c:v>1111956279.3457351</c:v>
                </c:pt>
                <c:pt idx="1">
                  <c:v>566233835.94327509</c:v>
                </c:pt>
                <c:pt idx="2">
                  <c:v>341554320.47311556</c:v>
                </c:pt>
                <c:pt idx="3">
                  <c:v>-35965525.409366131</c:v>
                </c:pt>
                <c:pt idx="4">
                  <c:v>-427780365.04985476</c:v>
                </c:pt>
                <c:pt idx="5">
                  <c:v>-823463556.02646542</c:v>
                </c:pt>
              </c:numCache>
            </c:numRef>
          </c:yVal>
          <c:smooth val="0"/>
          <c:extLst>
            <c:ext xmlns:c16="http://schemas.microsoft.com/office/drawing/2014/chart" uri="{C3380CC4-5D6E-409C-BE32-E72D297353CC}">
              <c16:uniqueId val="{00000001-0058-4268-8299-28671B8DD68A}"/>
            </c:ext>
          </c:extLst>
        </c:ser>
        <c:dLbls>
          <c:showLegendKey val="0"/>
          <c:showVal val="0"/>
          <c:showCatName val="0"/>
          <c:showSerName val="0"/>
          <c:showPercent val="0"/>
          <c:showBubbleSize val="0"/>
        </c:dLbls>
        <c:axId val="1366289759"/>
        <c:axId val="424599471"/>
        <c:extLst/>
      </c:scatterChart>
      <c:valAx>
        <c:axId val="1366289759"/>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Dashboard!$D$74:$F$74</c:f>
              <c:strCache>
                <c:ptCount val="3"/>
                <c:pt idx="0">
                  <c:v>Electricity Price</c:v>
                </c:pt>
              </c:strCache>
            </c:strRef>
          </c:tx>
          <c:layout>
            <c:manualLayout>
              <c:xMode val="edge"/>
              <c:yMode val="edge"/>
              <c:x val="0.45988170707708909"/>
              <c:y val="0.8913833373655519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Dashboard!$H$76:$L$76</c:f>
              <c:strCache>
                <c:ptCount val="5"/>
                <c:pt idx="0">
                  <c:v>ΔNPV</c:v>
                </c:pt>
              </c:strCache>
            </c:strRef>
          </c:tx>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 &quot;M&quot;" sourceLinked="1"/>
        <c:majorTickMark val="out"/>
        <c:minorTickMark val="none"/>
        <c:tickLblPos val="nextTo"/>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spPr>
        <a:noFill/>
        <a:ln>
          <a:noFill/>
        </a:ln>
        <a:effectLst/>
      </c:spPr>
    </c:plotArea>
    <c:legend>
      <c:legendPos val="t"/>
      <c:layout>
        <c:manualLayout>
          <c:xMode val="edge"/>
          <c:yMode val="edge"/>
          <c:x val="0.20273889223746774"/>
          <c:y val="2.7215842272673946E-2"/>
          <c:w val="0.46460513255930463"/>
          <c:h val="6.9272007434355853E-2"/>
        </c:manualLayout>
      </c:layout>
      <c:overlay val="0"/>
      <c:spPr>
        <a:noFill/>
        <a:ln>
          <a:noFill/>
        </a:ln>
        <a:effectLst/>
      </c:spPr>
      <c:txPr>
        <a:bodyPr rot="0" spcFirstLastPara="1" vertOverflow="ellipsis" vert="horz" wrap="square" anchor="ctr" anchorCtr="1"/>
        <a:lstStyle/>
        <a:p>
          <a:pPr>
            <a:defRPr sz="1300" b="0" i="0" u="none" strike="noStrike" kern="1200" baseline="0">
              <a:solidFill>
                <a:sysClr val="windowText" lastClr="000000"/>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HTSE: Parameter Sensitivity of LCOH with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2.3741568594248301E-2"/>
                  <c:y val="1.29905534709800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4.3984421302182511E-4"/>
                  <c:y val="4.76398671399756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8.1987130640927292E-3"/>
                  <c:y val="2.16754580055253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3"/>
              <c:layout>
                <c:manualLayout>
                  <c:x val="6.8087700376761942E-3"/>
                  <c:y val="1.2547041976381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C5-4FDF-A2BA-41C76548ECD9}"/>
                </c:ext>
              </c:extLst>
            </c:dLbl>
            <c:dLbl>
              <c:idx val="4"/>
              <c:layout>
                <c:manualLayout>
                  <c:x val="7.5984251968503934E-3"/>
                  <c:y val="1.29823749530161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dLbl>
              <c:idx val="5"/>
              <c:layout>
                <c:manualLayout>
                  <c:x val="1.0752829283436344E-2"/>
                  <c:y val="4.328139860835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13-425C-A6F8-353CABC4351A}"/>
                </c:ext>
              </c:extLst>
            </c:dLbl>
            <c:dLbl>
              <c:idx val="6"/>
              <c:layout>
                <c:manualLayout>
                  <c:x val="1.3002342689934162E-2"/>
                  <c:y val="-3.831404559113775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13-425C-A6F8-353CABC4351A}"/>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Costs, $/MWh [20, 32, 60]</c:v>
                </c:pt>
                <c:pt idx="1">
                  <c:v>Plant Capacity (HTSE), MW-dc [100, 500, 500]</c:v>
                </c:pt>
                <c:pt idx="2">
                  <c:v>Direct Capital Cost (Installed), $ MM [314, 441, 900]</c:v>
                </c:pt>
                <c:pt idx="3">
                  <c:v>Stack Service Lifetime, yrs [7, 5, 2]</c:v>
                </c:pt>
                <c:pt idx="4">
                  <c:v>NPP Capacity Factor, % [95, 90, 80]</c:v>
                </c:pt>
                <c:pt idx="5">
                  <c:v>Stack Manufacturing Cost, $/kW-dc [55, 150, 156]</c:v>
                </c:pt>
                <c:pt idx="6">
                  <c:v>Stack degradation rate for the 2nd year of stack, %/1000 hr [0.3, 0.25, 0.2]</c:v>
                </c:pt>
              </c:strCache>
            </c:strRef>
          </c:cat>
          <c:val>
            <c:numRef>
              <c:f>Sensitivity_Tornado!$R$17:$R$23</c:f>
              <c:numCache>
                <c:formatCode>"$"#,##0.00</c:formatCode>
                <c:ptCount val="7"/>
                <c:pt idx="0">
                  <c:v>1.2184436803630292</c:v>
                </c:pt>
                <c:pt idx="1">
                  <c:v>0.59663648307014783</c:v>
                </c:pt>
                <c:pt idx="2">
                  <c:v>1.3953113409970828</c:v>
                </c:pt>
                <c:pt idx="3">
                  <c:v>1.5675357418219402</c:v>
                </c:pt>
                <c:pt idx="4">
                  <c:v>1.5489740607871241</c:v>
                </c:pt>
                <c:pt idx="5">
                  <c:v>1.5238083740165675</c:v>
                </c:pt>
                <c:pt idx="6">
                  <c:v>1.5791673179330301</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6121027427078797E-2"/>
                  <c:y val="6.9164649648032969E-2"/>
                </c:manualLayout>
              </c:layout>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C6-42B1-8A4F-6934F360D7B4}"/>
                </c:ext>
              </c:extLst>
            </c:dLbl>
            <c:dLbl>
              <c:idx val="1"/>
              <c:delete val="1"/>
              <c:extLst>
                <c:ext xmlns:c15="http://schemas.microsoft.com/office/drawing/2012/chart" uri="{CE6537A1-D6FC-4f65-9D91-7224C49458BB}"/>
                <c:ext xmlns:c16="http://schemas.microsoft.com/office/drawing/2014/chart" uri="{C3380CC4-5D6E-409C-BE32-E72D297353CC}">
                  <c16:uniqueId val="{00000000-4DC6-42B1-8A4F-6934F360D7B4}"/>
                </c:ext>
              </c:extLst>
            </c:dLbl>
            <c:dLbl>
              <c:idx val="2"/>
              <c:delete val="1"/>
              <c:extLst>
                <c:ext xmlns:c15="http://schemas.microsoft.com/office/drawing/2012/chart" uri="{CE6537A1-D6FC-4f65-9D91-7224C49458BB}"/>
                <c:ext xmlns:c16="http://schemas.microsoft.com/office/drawing/2014/chart" uri="{C3380CC4-5D6E-409C-BE32-E72D297353CC}">
                  <c16:uniqueId val="{00000001-4DC6-42B1-8A4F-6934F360D7B4}"/>
                </c:ext>
              </c:extLst>
            </c:dLbl>
            <c:dLbl>
              <c:idx val="3"/>
              <c:delete val="1"/>
              <c:extLst>
                <c:ext xmlns:c15="http://schemas.microsoft.com/office/drawing/2012/chart" uri="{CE6537A1-D6FC-4f65-9D91-7224C49458BB}"/>
                <c:ext xmlns:c16="http://schemas.microsoft.com/office/drawing/2014/chart" uri="{C3380CC4-5D6E-409C-BE32-E72D297353CC}">
                  <c16:uniqueId val="{00000002-4DC6-42B1-8A4F-6934F360D7B4}"/>
                </c:ext>
              </c:extLst>
            </c:dLbl>
            <c:dLbl>
              <c:idx val="4"/>
              <c:delete val="1"/>
              <c:extLst>
                <c:ext xmlns:c15="http://schemas.microsoft.com/office/drawing/2012/chart" uri="{CE6537A1-D6FC-4f65-9D91-7224C49458BB}"/>
                <c:ext xmlns:c16="http://schemas.microsoft.com/office/drawing/2014/chart" uri="{C3380CC4-5D6E-409C-BE32-E72D297353CC}">
                  <c16:uniqueId val="{00000003-4DC6-42B1-8A4F-6934F360D7B4}"/>
                </c:ext>
              </c:extLst>
            </c:dLbl>
            <c:dLbl>
              <c:idx val="5"/>
              <c:delete val="1"/>
              <c:extLst>
                <c:ext xmlns:c15="http://schemas.microsoft.com/office/drawing/2012/chart" uri="{CE6537A1-D6FC-4f65-9D91-7224C49458BB}"/>
                <c:ext xmlns:c16="http://schemas.microsoft.com/office/drawing/2014/chart" uri="{C3380CC4-5D6E-409C-BE32-E72D297353CC}">
                  <c16:uniqueId val="{00000004-4DC6-42B1-8A4F-6934F360D7B4}"/>
                </c:ext>
              </c:extLst>
            </c:dLbl>
            <c:dLbl>
              <c:idx val="6"/>
              <c:delete val="1"/>
              <c:extLst>
                <c:ext xmlns:c15="http://schemas.microsoft.com/office/drawing/2012/chart" uri="{CE6537A1-D6FC-4f65-9D91-7224C49458BB}"/>
                <c:ext xmlns:c16="http://schemas.microsoft.com/office/drawing/2014/chart" uri="{C3380CC4-5D6E-409C-BE32-E72D297353CC}">
                  <c16:uniqueId val="{00000001-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Sensitivity_Tornado!$D$17:$D$24</c:f>
              <c:strCache>
                <c:ptCount val="7"/>
                <c:pt idx="0">
                  <c:v>Feedstock: Electricity Costs, $/MWh [20, 32, 60]</c:v>
                </c:pt>
                <c:pt idx="1">
                  <c:v>Plant Capacity (HTSE), MW-dc [100, 500, 500]</c:v>
                </c:pt>
                <c:pt idx="2">
                  <c:v>Direct Capital Cost (Installed), $ MM [314, 441, 900]</c:v>
                </c:pt>
                <c:pt idx="3">
                  <c:v>Stack Service Lifetime, yrs [7, 5, 2]</c:v>
                </c:pt>
                <c:pt idx="4">
                  <c:v>NPP Capacity Factor, % [95, 90, 80]</c:v>
                </c:pt>
                <c:pt idx="5">
                  <c:v>Stack Manufacturing Cost, $/kW-dc [55, 150, 156]</c:v>
                </c:pt>
                <c:pt idx="6">
                  <c:v>Stack degradation rate for the 2nd year of stack, %/1000 hr [0.3, 0.25, 0.2]</c:v>
                </c:pt>
              </c:strCache>
            </c:strRef>
          </c:cat>
          <c:val>
            <c:numRef>
              <c:f>Sensitivity_Tornado!$S$17:$S$23</c:f>
              <c:numCache>
                <c:formatCode>"$"#,##0.00</c:formatCode>
                <c:ptCount val="7"/>
                <c:pt idx="0">
                  <c:v>1.5879390481319049</c:v>
                </c:pt>
                <c:pt idx="1">
                  <c:v>1.5879390481319049</c:v>
                </c:pt>
                <c:pt idx="2">
                  <c:v>1.5879390481319049</c:v>
                </c:pt>
                <c:pt idx="3">
                  <c:v>1.5879390481319049</c:v>
                </c:pt>
                <c:pt idx="4">
                  <c:v>1.5879390481319049</c:v>
                </c:pt>
                <c:pt idx="5">
                  <c:v>1.5879390481319049</c:v>
                </c:pt>
                <c:pt idx="6">
                  <c:v>1.5879390481319049</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9365079365079361E-3"/>
                  <c:y val="1.0583354500042334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5.3600133542170561E-3"/>
                  <c:y val="-4.37847917154484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8042399639150684E-3"/>
                  <c:y val="4.34224536779874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4889400749917813E-3"/>
                  <c:y val="8.70401584626095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dLbl>
              <c:idx val="5"/>
              <c:layout>
                <c:manualLayout>
                  <c:x val="1.1342674907571905E-2"/>
                  <c:y val="-8.641285772070838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16-4620-A184-60D4A16D2EAA}"/>
                </c:ext>
              </c:extLst>
            </c:dLbl>
            <c:dLbl>
              <c:idx val="6"/>
              <c:layout>
                <c:manualLayout>
                  <c:x val="1.7780527341452641E-2"/>
                  <c:y val="-9.12004625572258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Costs, $/MWh [20, 32, 60]</c:v>
                </c:pt>
                <c:pt idx="1">
                  <c:v>Plant Capacity (HTSE), MW-dc [100, 500, 500]</c:v>
                </c:pt>
                <c:pt idx="2">
                  <c:v>Direct Capital Cost (Installed), $ MM [314, 441, 900]</c:v>
                </c:pt>
                <c:pt idx="3">
                  <c:v>Stack Service Lifetime, yrs [7, 5, 2]</c:v>
                </c:pt>
                <c:pt idx="4">
                  <c:v>NPP Capacity Factor, % [95, 90, 80]</c:v>
                </c:pt>
                <c:pt idx="5">
                  <c:v>Stack Manufacturing Cost, $/kW-dc [55, 150, 156]</c:v>
                </c:pt>
                <c:pt idx="6">
                  <c:v>Stack degradation rate for the 2nd year of stack, %/1000 hr [0.3, 0.25, 0.2]</c:v>
                </c:pt>
              </c:strCache>
            </c:strRef>
          </c:cat>
          <c:val>
            <c:numRef>
              <c:f>Sensitivity_Tornado!$T$17:$T$23</c:f>
              <c:numCache>
                <c:formatCode>"$"#,##0.00</c:formatCode>
                <c:ptCount val="7"/>
                <c:pt idx="0">
                  <c:v>2.6277041752168309</c:v>
                </c:pt>
                <c:pt idx="1">
                  <c:v>1.5879390481319049</c:v>
                </c:pt>
                <c:pt idx="2">
                  <c:v>2.3171973789396931</c:v>
                </c:pt>
                <c:pt idx="3">
                  <c:v>1.7347788381796971</c:v>
                </c:pt>
                <c:pt idx="4">
                  <c:v>1.6805072302044093</c:v>
                </c:pt>
                <c:pt idx="5">
                  <c:v>1.5922177761867371</c:v>
                </c:pt>
                <c:pt idx="6">
                  <c:v>1.5966895064443061</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1.5879000000000001"/>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HTSE: Sensitivity Annalysis of NPV_H2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906937558731083"/>
          <c:y val="0.23639905346642096"/>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5"/>
              <c:layout>
                <c:manualLayout>
                  <c:x val="-5.3675456429460007E-3"/>
                  <c:y val="-4.34403765608071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F4-4B31-A181-89354AEE50E9}"/>
                </c:ext>
              </c:extLst>
            </c:dLbl>
            <c:dLbl>
              <c:idx val="6"/>
              <c:layout>
                <c:manualLayout>
                  <c:x val="-4.4378510657182346E-5"/>
                  <c:y val="4.34506396833210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D1-49A6-9A20-C7B7EA3733DC}"/>
                </c:ext>
              </c:extLst>
            </c:dLbl>
            <c:numFmt formatCode="&quot;$&quot;#,##0" sourceLinked="0"/>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441, 314]</c:v>
                </c:pt>
                <c:pt idx="2">
                  <c:v>Plant Capacity (HTSE), MW-dc [100, 500, 500]</c:v>
                </c:pt>
                <c:pt idx="3">
                  <c:v>NPP Capacity Factor, % [80, 90, 95]</c:v>
                </c:pt>
                <c:pt idx="4">
                  <c:v>Stack Service Lifetime, yrs [2, 5, 7]</c:v>
                </c:pt>
                <c:pt idx="5">
                  <c:v>Stack Manufacturing Cost, $/kW-dc [156, 150, 55]</c:v>
                </c:pt>
                <c:pt idx="6">
                  <c:v>Stack degradation rate for the 2nd year of stack, %/1000 hr [0.3, 0.25, 0.2]</c:v>
                </c:pt>
              </c:strCache>
            </c:strRef>
          </c:cat>
          <c:val>
            <c:numRef>
              <c:f>Sensitivity_Tornado!$R$28:$R$34</c:f>
              <c:numCache>
                <c:formatCode>"$"#,##0.00</c:formatCode>
                <c:ptCount val="7"/>
                <c:pt idx="0">
                  <c:v>-261486128.53028628</c:v>
                </c:pt>
                <c:pt idx="1">
                  <c:v>23511722.043029111</c:v>
                </c:pt>
                <c:pt idx="2">
                  <c:v>320544807.75079817</c:v>
                </c:pt>
                <c:pt idx="3">
                  <c:v>542591022.97768867</c:v>
                </c:pt>
                <c:pt idx="4">
                  <c:v>573735151.48829663</c:v>
                </c:pt>
                <c:pt idx="5">
                  <c:v>688932353.64065421</c:v>
                </c:pt>
                <c:pt idx="6">
                  <c:v>679743605.5284673</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dLbl>
              <c:idx val="6"/>
              <c:delete val="1"/>
              <c:extLst>
                <c:ext xmlns:c15="http://schemas.microsoft.com/office/drawing/2012/chart" uri="{CE6537A1-D6FC-4f65-9D91-7224C49458BB}"/>
                <c:ext xmlns:c16="http://schemas.microsoft.com/office/drawing/2014/chart" uri="{C3380CC4-5D6E-409C-BE32-E72D297353CC}">
                  <c16:uniqueId val="{00000001-EED1-49A6-9A20-C7B7EA3733DC}"/>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441, 314]</c:v>
                </c:pt>
                <c:pt idx="2">
                  <c:v>Plant Capacity (HTSE), MW-dc [100, 500, 500]</c:v>
                </c:pt>
                <c:pt idx="3">
                  <c:v>NPP Capacity Factor, % [80, 90, 95]</c:v>
                </c:pt>
                <c:pt idx="4">
                  <c:v>Stack Service Lifetime, yrs [2, 5, 7]</c:v>
                </c:pt>
                <c:pt idx="5">
                  <c:v>Stack Manufacturing Cost, $/kW-dc [156, 150, 55]</c:v>
                </c:pt>
                <c:pt idx="6">
                  <c:v>Stack degradation rate for the 2nd year of stack, %/1000 hr [0.3, 0.25, 0.2]</c:v>
                </c:pt>
              </c:strCache>
            </c:strRef>
          </c:cat>
          <c:val>
            <c:numRef>
              <c:f>Sensitivity_Tornado!$S$28:$S$34</c:f>
              <c:numCache>
                <c:formatCode>"$"#,##0.00</c:formatCode>
                <c:ptCount val="7"/>
                <c:pt idx="0">
                  <c:v>692859572.99119782</c:v>
                </c:pt>
                <c:pt idx="1">
                  <c:v>692859572.99119782</c:v>
                </c:pt>
                <c:pt idx="2">
                  <c:v>692859572.99119782</c:v>
                </c:pt>
                <c:pt idx="3">
                  <c:v>692859572.99119782</c:v>
                </c:pt>
                <c:pt idx="4">
                  <c:v>692859572.99119782</c:v>
                </c:pt>
                <c:pt idx="5">
                  <c:v>692859572.99119782</c:v>
                </c:pt>
                <c:pt idx="6">
                  <c:v>692859572.99119782</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3.1754867195545808E-2"/>
                  <c:y val="7.330948411730515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3.4942068108550091E-3"/>
                  <c:y val="4.775749357057979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5.906145789747296E-3"/>
                  <c:y val="4.346432384667305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2.7265030512900294E-3"/>
                  <c:y val="3.873123742513912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1.2385830998178237E-2"/>
                  <c:y val="1.30358761131639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dLbl>
              <c:idx val="6"/>
              <c:layout>
                <c:manualLayout>
                  <c:x val="7.0761887453277975E-3"/>
                  <c:y val="4.36730073377904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D1-49A6-9A20-C7B7EA3733DC}"/>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Feedstock: Electricity Costs, $/MWh [60, 32, 20]</c:v>
                </c:pt>
                <c:pt idx="1">
                  <c:v>Direct Capital Cost (Installed), $ MM [900, 441, 314]</c:v>
                </c:pt>
                <c:pt idx="2">
                  <c:v>Plant Capacity (HTSE), MW-dc [100, 500, 500]</c:v>
                </c:pt>
                <c:pt idx="3">
                  <c:v>NPP Capacity Factor, % [80, 90, 95]</c:v>
                </c:pt>
                <c:pt idx="4">
                  <c:v>Stack Service Lifetime, yrs [2, 5, 7]</c:v>
                </c:pt>
                <c:pt idx="5">
                  <c:v>Stack Manufacturing Cost, $/kW-dc [156, 150, 55]</c:v>
                </c:pt>
                <c:pt idx="6">
                  <c:v>Stack degradation rate for the 2nd year of stack, %/1000 hr [0.3, 0.25, 0.2]</c:v>
                </c:pt>
              </c:strCache>
            </c:strRef>
          </c:cat>
          <c:val>
            <c:numRef>
              <c:f>Sensitivity_Tornado!$T$28:$T$34</c:f>
              <c:numCache>
                <c:formatCode>"$"#,##0.00</c:formatCode>
                <c:ptCount val="7"/>
                <c:pt idx="0">
                  <c:v>1031999929.5743666</c:v>
                </c:pt>
                <c:pt idx="1">
                  <c:v>869662410.00637043</c:v>
                </c:pt>
                <c:pt idx="2">
                  <c:v>692859572.99119782</c:v>
                </c:pt>
                <c:pt idx="3">
                  <c:v>767516763.76715589</c:v>
                </c:pt>
                <c:pt idx="4">
                  <c:v>700542302.33383226</c:v>
                </c:pt>
                <c:pt idx="5">
                  <c:v>751721744.44066203</c:v>
                </c:pt>
                <c:pt idx="6">
                  <c:v>706166867.56943595</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692859572.99119997"/>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30597431017213"/>
          <c:y val="0.11209718180368365"/>
          <c:w val="0.71563214921482721"/>
          <c:h val="0.72806318565614458"/>
        </c:manualLayout>
      </c:layout>
      <c:barChart>
        <c:barDir val="bar"/>
        <c:grouping val="stacked"/>
        <c:varyColors val="0"/>
        <c:ser>
          <c:idx val="0"/>
          <c:order val="0"/>
          <c:tx>
            <c:strRef>
              <c:f>LCOH!$T$18</c:f>
              <c:strCache>
                <c:ptCount val="1"/>
                <c:pt idx="0">
                  <c:v>Electricity</c:v>
                </c:pt>
              </c:strCache>
            </c:strRef>
          </c:tx>
          <c:spPr>
            <a:solidFill>
              <a:srgbClr val="FF0000"/>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LCOH!$U$18:$V$18</c:f>
              <c:numCache>
                <c:formatCode>"$"#,##0.00</c:formatCode>
                <c:ptCount val="2"/>
                <c:pt idx="1">
                  <c:v>1.2019413404847907</c:v>
                </c:pt>
              </c:numCache>
            </c:numRef>
          </c:val>
          <c:extLst>
            <c:ext xmlns:c16="http://schemas.microsoft.com/office/drawing/2014/chart" uri="{C3380CC4-5D6E-409C-BE32-E72D297353CC}">
              <c16:uniqueId val="{00000000-70CB-4721-BADE-C273136E5F07}"/>
            </c:ext>
          </c:extLst>
        </c:ser>
        <c:ser>
          <c:idx val="1"/>
          <c:order val="1"/>
          <c:tx>
            <c:strRef>
              <c:f>LCOH!$T$19</c:f>
              <c:strCache>
                <c:ptCount val="1"/>
                <c:pt idx="0">
                  <c:v>BoP</c:v>
                </c:pt>
              </c:strCache>
            </c:strRef>
          </c:tx>
          <c:spPr>
            <a:solidFill>
              <a:srgbClr val="FFC000"/>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LCOH!$U$19:$V$19</c:f>
              <c:numCache>
                <c:formatCode>"$"#,##0.00</c:formatCode>
                <c:ptCount val="2"/>
                <c:pt idx="1">
                  <c:v>0.43711886725977872</c:v>
                </c:pt>
              </c:numCache>
            </c:numRef>
          </c:val>
          <c:extLst>
            <c:ext xmlns:c16="http://schemas.microsoft.com/office/drawing/2014/chart" uri="{C3380CC4-5D6E-409C-BE32-E72D297353CC}">
              <c16:uniqueId val="{00000001-70CB-4721-BADE-C273136E5F07}"/>
            </c:ext>
          </c:extLst>
        </c:ser>
        <c:ser>
          <c:idx val="2"/>
          <c:order val="2"/>
          <c:tx>
            <c:strRef>
              <c:f>LCOH!$T$20</c:f>
              <c:strCache>
                <c:ptCount val="1"/>
                <c:pt idx="0">
                  <c:v>Fixed O&amp;M</c:v>
                </c:pt>
              </c:strCache>
            </c:strRef>
          </c:tx>
          <c:spPr>
            <a:solidFill>
              <a:srgbClr val="7030A0"/>
            </a:solidFill>
            <a:ln>
              <a:noFill/>
            </a:ln>
            <a:effectLst/>
          </c:spPr>
          <c:invertIfNegative val="0"/>
          <c:dLbls>
            <c:dLbl>
              <c:idx val="1"/>
              <c:layout>
                <c:manualLayout>
                  <c:x val="-1.4212312160828096E-3"/>
                  <c:y val="-6.366554384107789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LCOH!$U$20:$V$20</c:f>
              <c:numCache>
                <c:formatCode>"$"#,##0.00</c:formatCode>
                <c:ptCount val="2"/>
                <c:pt idx="1">
                  <c:v>0.26352136208979804</c:v>
                </c:pt>
              </c:numCache>
            </c:numRef>
          </c:val>
          <c:extLst>
            <c:ext xmlns:c16="http://schemas.microsoft.com/office/drawing/2014/chart" uri="{C3380CC4-5D6E-409C-BE32-E72D297353CC}">
              <c16:uniqueId val="{00000002-70CB-4721-BADE-C273136E5F07}"/>
            </c:ext>
          </c:extLst>
        </c:ser>
        <c:ser>
          <c:idx val="3"/>
          <c:order val="3"/>
          <c:tx>
            <c:strRef>
              <c:f>LCOH!$T$21</c:f>
              <c:strCache>
                <c:ptCount val="1"/>
                <c:pt idx="0">
                  <c:v>Stack Replacement</c:v>
                </c:pt>
              </c:strCache>
            </c:strRef>
          </c:tx>
          <c:spPr>
            <a:solidFill>
              <a:srgbClr val="002060"/>
            </a:solidFill>
            <a:ln>
              <a:noFill/>
            </a:ln>
            <a:effectLst/>
          </c:spPr>
          <c:invertIfNegative val="0"/>
          <c:dLbls>
            <c:dLbl>
              <c:idx val="1"/>
              <c:layout>
                <c:manualLayout>
                  <c:x val="-1.1635656397459191E-3"/>
                  <c:y val="-9.39063548317060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LCOH!$U$21:$V$21</c:f>
              <c:numCache>
                <c:formatCode>"$"#,##0.00</c:formatCode>
                <c:ptCount val="2"/>
                <c:pt idx="1">
                  <c:v>0.14038262167928015</c:v>
                </c:pt>
              </c:numCache>
            </c:numRef>
          </c:val>
          <c:extLst>
            <c:ext xmlns:c16="http://schemas.microsoft.com/office/drawing/2014/chart" uri="{C3380CC4-5D6E-409C-BE32-E72D297353CC}">
              <c16:uniqueId val="{00000003-70CB-4721-BADE-C273136E5F07}"/>
            </c:ext>
          </c:extLst>
        </c:ser>
        <c:ser>
          <c:idx val="4"/>
          <c:order val="4"/>
          <c:tx>
            <c:strRef>
              <c:f>LCOH!$T$22</c:f>
              <c:strCache>
                <c:ptCount val="1"/>
                <c:pt idx="0">
                  <c:v>Tax Payment (H2 only)</c:v>
                </c:pt>
              </c:strCache>
            </c:strRef>
          </c:tx>
          <c:spPr>
            <a:solidFill>
              <a:srgbClr val="00B0F0"/>
            </a:solidFill>
            <a:ln>
              <a:noFill/>
            </a:ln>
            <a:effectLst/>
          </c:spPr>
          <c:invertIfNegative val="0"/>
          <c:dLbls>
            <c:dLbl>
              <c:idx val="1"/>
              <c:layout>
                <c:manualLayout>
                  <c:x val="1.8678719011313168E-3"/>
                  <c:y val="5.614824947885119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LCOH!$U$22:$V$22</c:f>
              <c:numCache>
                <c:formatCode>"$"#,##0.00</c:formatCode>
                <c:ptCount val="2"/>
                <c:pt idx="1">
                  <c:v>0.11175773369770461</c:v>
                </c:pt>
              </c:numCache>
            </c:numRef>
          </c:val>
          <c:extLst>
            <c:ext xmlns:c16="http://schemas.microsoft.com/office/drawing/2014/chart" uri="{C3380CC4-5D6E-409C-BE32-E72D297353CC}">
              <c16:uniqueId val="{00000004-70CB-4721-BADE-C273136E5F07}"/>
            </c:ext>
          </c:extLst>
        </c:ser>
        <c:ser>
          <c:idx val="5"/>
          <c:order val="5"/>
          <c:tx>
            <c:strRef>
              <c:f>LCOH!$T$24</c:f>
              <c:strCache>
                <c:ptCount val="1"/>
                <c:pt idx="0">
                  <c:v>Thermal</c:v>
                </c:pt>
              </c:strCache>
            </c:strRef>
          </c:tx>
          <c:spPr>
            <a:solidFill>
              <a:schemeClr val="bg1">
                <a:lumMod val="75000"/>
              </a:schemeClr>
            </a:solidFill>
            <a:ln>
              <a:noFill/>
            </a:ln>
            <a:effectLst/>
          </c:spPr>
          <c:invertIfNegative val="0"/>
          <c:dLbls>
            <c:dLbl>
              <c:idx val="1"/>
              <c:layout>
                <c:manualLayout>
                  <c:x val="-3.853484351955397E-3"/>
                  <c:y val="-0.232999939600613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LCOH!$U$24:$V$24</c:f>
              <c:numCache>
                <c:formatCode>"$"#,##0.00</c:formatCode>
                <c:ptCount val="2"/>
                <c:pt idx="1">
                  <c:v>7.1477530199759109E-2</c:v>
                </c:pt>
              </c:numCache>
            </c:numRef>
          </c:val>
          <c:extLst>
            <c:ext xmlns:c16="http://schemas.microsoft.com/office/drawing/2014/chart" uri="{C3380CC4-5D6E-409C-BE32-E72D297353CC}">
              <c16:uniqueId val="{00000005-70CB-4721-BADE-C273136E5F07}"/>
            </c:ext>
          </c:extLst>
        </c:ser>
        <c:ser>
          <c:idx val="6"/>
          <c:order val="6"/>
          <c:tx>
            <c:strRef>
              <c:f>LCOH!$T$23</c:f>
              <c:strCache>
                <c:ptCount val="1"/>
                <c:pt idx="0">
                  <c:v>Stack</c:v>
                </c:pt>
              </c:strCache>
            </c:strRef>
          </c:tx>
          <c:spPr>
            <a:solidFill>
              <a:schemeClr val="accent2">
                <a:lumMod val="75000"/>
              </a:schemeClr>
            </a:solidFill>
            <a:ln>
              <a:noFill/>
            </a:ln>
            <a:effectLst/>
          </c:spPr>
          <c:invertIfNegative val="0"/>
          <c:dLbls>
            <c:dLbl>
              <c:idx val="1"/>
              <c:layout>
                <c:manualLayout>
                  <c:x val="4.4902398986596807E-2"/>
                  <c:y val="-0.182442061480046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LCOH!$U$23:$V$23</c:f>
              <c:numCache>
                <c:formatCode>"$"#,##0.00</c:formatCode>
                <c:ptCount val="2"/>
                <c:pt idx="1">
                  <c:v>8.9305779847889705E-2</c:v>
                </c:pt>
              </c:numCache>
            </c:numRef>
          </c:val>
          <c:extLst>
            <c:ext xmlns:c16="http://schemas.microsoft.com/office/drawing/2014/chart" uri="{C3380CC4-5D6E-409C-BE32-E72D297353CC}">
              <c16:uniqueId val="{00000006-70CB-4721-BADE-C273136E5F07}"/>
            </c:ext>
          </c:extLst>
        </c:ser>
        <c:ser>
          <c:idx val="10"/>
          <c:order val="7"/>
          <c:tx>
            <c:strRef>
              <c:f>LCOH!$T$25</c:f>
              <c:strCache>
                <c:ptCount val="1"/>
                <c:pt idx="0">
                  <c:v>Variable O&amp;M without tax</c:v>
                </c:pt>
              </c:strCache>
            </c:strRef>
          </c:tx>
          <c:spPr>
            <a:solidFill>
              <a:schemeClr val="bg1">
                <a:lumMod val="50000"/>
              </a:schemeClr>
            </a:solidFill>
            <a:ln>
              <a:noFill/>
            </a:ln>
            <a:effectLst/>
          </c:spPr>
          <c:invertIfNegative val="0"/>
          <c:dLbls>
            <c:dLbl>
              <c:idx val="1"/>
              <c:layout>
                <c:manualLayout>
                  <c:x val="5.4927034950015122E-2"/>
                  <c:y val="4.1464995290479856E-3"/>
                </c:manualLayout>
              </c:layout>
              <c:spPr>
                <a:noFill/>
                <a:ln>
                  <a:solidFill>
                    <a:schemeClr val="tx1"/>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1401849310210324E-2"/>
                      <c:h val="7.4572021371588443E-2"/>
                    </c:manualLayout>
                  </c15:layout>
                </c:ext>
                <c:ext xmlns:c16="http://schemas.microsoft.com/office/drawing/2014/chart" uri="{C3380CC4-5D6E-409C-BE32-E72D297353CC}">
                  <c16:uniqueId val="{00000002-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LCOH!$U$25:$V$25</c:f>
              <c:numCache>
                <c:formatCode>"$"#,##0.00</c:formatCode>
                <c:ptCount val="2"/>
                <c:pt idx="1">
                  <c:v>2.7308299984514568E-2</c:v>
                </c:pt>
              </c:numCache>
            </c:numRef>
          </c:val>
          <c:extLst>
            <c:ext xmlns:c16="http://schemas.microsoft.com/office/drawing/2014/chart" uri="{C3380CC4-5D6E-409C-BE32-E72D297353CC}">
              <c16:uniqueId val="{00000001-AE20-4DA4-B49E-B5864EA875FC}"/>
            </c:ext>
          </c:extLst>
        </c:ser>
        <c:ser>
          <c:idx val="7"/>
          <c:order val="8"/>
          <c:tx>
            <c:strRef>
              <c:f>LCOH!$T$27</c:f>
              <c:strCache>
                <c:ptCount val="1"/>
                <c:pt idx="0">
                  <c:v>Hydrogen Sale</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LCOH!$U$27:$V$27</c:f>
              <c:numCache>
                <c:formatCode>General</c:formatCode>
                <c:ptCount val="2"/>
                <c:pt idx="0" formatCode="&quot;$&quot;#,##0.00">
                  <c:v>2.3428135352435158</c:v>
                </c:pt>
              </c:numCache>
            </c:numRef>
          </c:val>
          <c:extLst>
            <c:ext xmlns:c16="http://schemas.microsoft.com/office/drawing/2014/chart" uri="{C3380CC4-5D6E-409C-BE32-E72D297353CC}">
              <c16:uniqueId val="{00000007-70CB-4721-BADE-C273136E5F07}"/>
            </c:ext>
          </c:extLst>
        </c:ser>
        <c:ser>
          <c:idx val="8"/>
          <c:order val="9"/>
          <c:tx>
            <c:strRef>
              <c:f>LCOH!$T$28</c:f>
              <c:strCache>
                <c:ptCount val="1"/>
                <c:pt idx="0">
                  <c:v>PTC: IRA 45V</c:v>
                </c:pt>
              </c:strCache>
            </c:strRef>
          </c:tx>
          <c:spPr>
            <a:solidFill>
              <a:srgbClr val="006100"/>
            </a:solidFill>
            <a:ln>
              <a:noFill/>
            </a:ln>
            <a:effectLst/>
          </c:spPr>
          <c:invertIfNegative val="0"/>
          <c:dLbls>
            <c:dLbl>
              <c:idx val="0"/>
              <c:layout>
                <c:manualLayout>
                  <c:x val="0"/>
                  <c:y val="-7.601528713505127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LCOH!$U$28:$V$28</c:f>
              <c:numCache>
                <c:formatCode>General</c:formatCode>
                <c:ptCount val="2"/>
                <c:pt idx="0" formatCode="&quot;$&quot;#,##0.00">
                  <c:v>0.75487448711161087</c:v>
                </c:pt>
              </c:numCache>
            </c:numRef>
          </c:val>
          <c:extLst>
            <c:ext xmlns:c16="http://schemas.microsoft.com/office/drawing/2014/chart" uri="{C3380CC4-5D6E-409C-BE32-E72D297353CC}">
              <c16:uniqueId val="{00000008-70CB-4721-BADE-C273136E5F07}"/>
            </c:ext>
          </c:extLst>
        </c:ser>
        <c:ser>
          <c:idx val="9"/>
          <c:order val="10"/>
          <c:tx>
            <c:strRef>
              <c:f>LCOH!$T$29</c:f>
              <c:strCache>
                <c:ptCount val="1"/>
                <c:pt idx="0">
                  <c:v>Electricity Sale</c:v>
                </c:pt>
              </c:strCache>
            </c:strRef>
          </c:tx>
          <c:spPr>
            <a:solidFill>
              <a:srgbClr val="63BE7B"/>
            </a:solidFill>
            <a:ln>
              <a:noFill/>
            </a:ln>
            <a:effectLst/>
          </c:spPr>
          <c:invertIfNegative val="0"/>
          <c:dLbls>
            <c:dLbl>
              <c:idx val="0"/>
              <c:layout>
                <c:manualLayout>
                  <c:x val="1.2923984279143406E-3"/>
                  <c:y val="-0.223902159522942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20-4DA4-B49E-B5864EA875FC}"/>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LCOH!$U$29:$V$29</c:f>
              <c:numCache>
                <c:formatCode>General</c:formatCode>
                <c:ptCount val="2"/>
                <c:pt idx="0" formatCode="&quot;$&quot;#,##0.00">
                  <c:v>0</c:v>
                </c:pt>
              </c:numCache>
            </c:numRef>
          </c:val>
          <c:extLst>
            <c:ext xmlns:c16="http://schemas.microsoft.com/office/drawing/2014/chart" uri="{C3380CC4-5D6E-409C-BE32-E72D297353CC}">
              <c16:uniqueId val="{00000000-AE20-4DA4-B49E-B5864EA875FC}"/>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85189673716208247"/>
          <c:y val="3.7160206003437724E-2"/>
          <c:w val="0.14437962891068826"/>
          <c:h val="0.82475623950152555"/>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Correlations!$A$102</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Correlations!$C$107</c:f>
              <c:strCache>
                <c:ptCount val="1"/>
                <c:pt idx="0">
                  <c:v>NPP-HTSE, PTC=$0/kg</c:v>
                </c:pt>
              </c:strCache>
            </c:strRef>
          </c:tx>
          <c:spPr>
            <a:ln w="63500" cap="rnd" cmpd="dbl">
              <a:solidFill>
                <a:srgbClr val="0070C0"/>
              </a:solidFill>
              <a:prstDash val="solid"/>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Correlations!$E$107:$Z$107</c:f>
              <c:numCache>
                <c:formatCode>"$"#,##0.00</c:formatCode>
                <c:ptCount val="22"/>
                <c:pt idx="0">
                  <c:v>1.2014936695356286</c:v>
                </c:pt>
                <c:pt idx="1">
                  <c:v>1.6669148359665138</c:v>
                </c:pt>
                <c:pt idx="2">
                  <c:v>1.9733181674746401</c:v>
                </c:pt>
                <c:pt idx="3">
                  <c:v>2.2873694079887046</c:v>
                </c:pt>
                <c:pt idx="4">
                  <c:v>2.6023928583001283</c:v>
                </c:pt>
                <c:pt idx="5">
                  <c:v>2.9748156096433744</c:v>
                </c:pt>
                <c:pt idx="6">
                  <c:v>3.3825786623284415</c:v>
                </c:pt>
                <c:pt idx="7">
                  <c:v>3.7903417150135095</c:v>
                </c:pt>
                <c:pt idx="8">
                  <c:v>4.1981047676985774</c:v>
                </c:pt>
                <c:pt idx="9">
                  <c:v>4.6058678203836454</c:v>
                </c:pt>
                <c:pt idx="10">
                  <c:v>5.0136308730687142</c:v>
                </c:pt>
                <c:pt idx="11">
                  <c:v>5.4213939257537795</c:v>
                </c:pt>
                <c:pt idx="12">
                  <c:v>5.8291569784388493</c:v>
                </c:pt>
                <c:pt idx="13">
                  <c:v>6.2369200311239172</c:v>
                </c:pt>
                <c:pt idx="14">
                  <c:v>6.6446830838089834</c:v>
                </c:pt>
                <c:pt idx="15">
                  <c:v>7.0524461364940514</c:v>
                </c:pt>
                <c:pt idx="16">
                  <c:v>7.4602091891791229</c:v>
                </c:pt>
                <c:pt idx="17">
                  <c:v>7.8679722418641864</c:v>
                </c:pt>
                <c:pt idx="18">
                  <c:v>8.2757352945492535</c:v>
                </c:pt>
                <c:pt idx="19">
                  <c:v>8.6834983472343232</c:v>
                </c:pt>
                <c:pt idx="20">
                  <c:v>9.0912613999193894</c:v>
                </c:pt>
                <c:pt idx="21">
                  <c:v>2.3693891210531035</c:v>
                </c:pt>
              </c:numCache>
            </c:numRef>
          </c:yVal>
          <c:smooth val="0"/>
          <c:extLst>
            <c:ext xmlns:c16="http://schemas.microsoft.com/office/drawing/2014/chart" uri="{C3380CC4-5D6E-409C-BE32-E72D297353CC}">
              <c16:uniqueId val="{00000001-DA28-4C29-BC52-20C0337F7EC3}"/>
            </c:ext>
          </c:extLst>
        </c:ser>
        <c:ser>
          <c:idx val="2"/>
          <c:order val="1"/>
          <c:tx>
            <c:strRef>
              <c:f>Correlations!$C$108</c:f>
              <c:strCache>
                <c:ptCount val="1"/>
                <c:pt idx="0">
                  <c:v>NPP-HTSE, PTC=$3/kg</c:v>
                </c:pt>
              </c:strCache>
            </c:strRef>
          </c:tx>
          <c:spPr>
            <a:ln w="38100" cap="rnd" cmpd="dbl">
              <a:solidFill>
                <a:srgbClr val="0070C0"/>
              </a:solidFill>
              <a:prstDash val="dash"/>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Correlations!$E$108:$Z$108</c:f>
              <c:numCache>
                <c:formatCode>"$"#,##0.00</c:formatCode>
                <c:ptCount val="22"/>
                <c:pt idx="0">
                  <c:v>0.44661918242401877</c:v>
                </c:pt>
                <c:pt idx="1">
                  <c:v>0.91204034885490293</c:v>
                </c:pt>
                <c:pt idx="2">
                  <c:v>1.2184436803630292</c:v>
                </c:pt>
                <c:pt idx="3">
                  <c:v>1.5324949208770937</c:v>
                </c:pt>
                <c:pt idx="4">
                  <c:v>1.8475183711885175</c:v>
                </c:pt>
                <c:pt idx="5">
                  <c:v>2.2199411225317638</c:v>
                </c:pt>
                <c:pt idx="6">
                  <c:v>2.6277041752168309</c:v>
                </c:pt>
                <c:pt idx="7">
                  <c:v>3.0354672279018988</c:v>
                </c:pt>
                <c:pt idx="8">
                  <c:v>3.4432302805869668</c:v>
                </c:pt>
                <c:pt idx="9">
                  <c:v>3.8509933332720347</c:v>
                </c:pt>
                <c:pt idx="10">
                  <c:v>4.2587563859571036</c:v>
                </c:pt>
                <c:pt idx="11">
                  <c:v>4.6665194386421689</c:v>
                </c:pt>
                <c:pt idx="12">
                  <c:v>5.0742824913272386</c:v>
                </c:pt>
                <c:pt idx="13">
                  <c:v>5.4820455440123066</c:v>
                </c:pt>
                <c:pt idx="14">
                  <c:v>5.8898085966973728</c:v>
                </c:pt>
                <c:pt idx="15">
                  <c:v>6.2975716493824407</c:v>
                </c:pt>
                <c:pt idx="16">
                  <c:v>6.7053347020675123</c:v>
                </c:pt>
                <c:pt idx="17">
                  <c:v>7.1130977547525758</c:v>
                </c:pt>
                <c:pt idx="18">
                  <c:v>7.5208608074376428</c:v>
                </c:pt>
                <c:pt idx="19">
                  <c:v>7.9286238601227126</c:v>
                </c:pt>
                <c:pt idx="20">
                  <c:v>8.3363869128077788</c:v>
                </c:pt>
                <c:pt idx="21">
                  <c:v>1.6145146339414942</c:v>
                </c:pt>
              </c:numCache>
            </c:numRef>
          </c:yVal>
          <c:smooth val="0"/>
          <c:extLst>
            <c:ext xmlns:c16="http://schemas.microsoft.com/office/drawing/2014/chart" uri="{C3380CC4-5D6E-409C-BE32-E72D297353CC}">
              <c16:uniqueId val="{00000002-DA28-4C29-BC52-20C0337F7EC3}"/>
            </c:ext>
          </c:extLst>
        </c:ser>
        <c:ser>
          <c:idx val="3"/>
          <c:order val="2"/>
          <c:tx>
            <c:strRef>
              <c:f>Correlations!$C$106</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Correlations!$E$106:$Z$106</c:f>
              <c:numCache>
                <c:formatCode>"$"#,##0.00</c:formatCode>
                <c:ptCount val="22"/>
                <c:pt idx="0">
                  <c:v>2.3428135352435149</c:v>
                </c:pt>
                <c:pt idx="1">
                  <c:v>2.3428135352435149</c:v>
                </c:pt>
                <c:pt idx="2">
                  <c:v>2.3428135352435149</c:v>
                </c:pt>
                <c:pt idx="3">
                  <c:v>2.3428135352435149</c:v>
                </c:pt>
                <c:pt idx="4">
                  <c:v>2.3428135352435149</c:v>
                </c:pt>
                <c:pt idx="5">
                  <c:v>2.3428135352435149</c:v>
                </c:pt>
                <c:pt idx="6">
                  <c:v>2.3428135352435149</c:v>
                </c:pt>
                <c:pt idx="7">
                  <c:v>2.3428135352435149</c:v>
                </c:pt>
                <c:pt idx="8">
                  <c:v>2.3428135352435149</c:v>
                </c:pt>
                <c:pt idx="9">
                  <c:v>2.3428135352435149</c:v>
                </c:pt>
                <c:pt idx="10">
                  <c:v>2.3428135352435149</c:v>
                </c:pt>
                <c:pt idx="11">
                  <c:v>2.3428135352435149</c:v>
                </c:pt>
                <c:pt idx="12">
                  <c:v>2.3428135352435149</c:v>
                </c:pt>
                <c:pt idx="13">
                  <c:v>2.3428135352435149</c:v>
                </c:pt>
                <c:pt idx="14">
                  <c:v>2.3428135352435149</c:v>
                </c:pt>
                <c:pt idx="15">
                  <c:v>2.3428135352435149</c:v>
                </c:pt>
                <c:pt idx="16">
                  <c:v>2.3428135352435149</c:v>
                </c:pt>
                <c:pt idx="17">
                  <c:v>2.3428135352435149</c:v>
                </c:pt>
                <c:pt idx="18">
                  <c:v>2.3428135352435149</c:v>
                </c:pt>
                <c:pt idx="19">
                  <c:v>2.3428135352435149</c:v>
                </c:pt>
                <c:pt idx="20">
                  <c:v>2.3428135352435149</c:v>
                </c:pt>
                <c:pt idx="21">
                  <c:v>2.3428135352435149</c:v>
                </c:pt>
              </c:numCache>
            </c:numRef>
          </c:yVal>
          <c:smooth val="0"/>
          <c:extLst>
            <c:ext xmlns:c16="http://schemas.microsoft.com/office/drawing/2014/chart" uri="{C3380CC4-5D6E-409C-BE32-E72D297353CC}">
              <c16:uniqueId val="{00000003-DA28-4C29-BC52-20C0337F7EC3}"/>
            </c:ext>
          </c:extLst>
        </c:ser>
        <c:ser>
          <c:idx val="4"/>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3.2445888085875077E-2"/>
                  <c:y val="-0.26062046292603325"/>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7.0616875117037736E-3"/>
                  <c:y val="5.674473045966647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9.1765611954252077E-2"/>
                  <c:y val="0.1011732999542843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0.12648960000901102"/>
                  <c:y val="-7.575600109551038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0.11488142757176789"/>
                  <c:y val="-0.1386999457451605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Correlations!$N$120:$N$125</c:f>
              <c:numCache>
                <c:formatCode>"$"#,##0.00</c:formatCode>
                <c:ptCount val="6"/>
                <c:pt idx="0">
                  <c:v>-13.037226497421999</c:v>
                </c:pt>
                <c:pt idx="1">
                  <c:v>4.6739287405509291</c:v>
                </c:pt>
                <c:pt idx="2">
                  <c:v>7.9330448170659214</c:v>
                </c:pt>
                <c:pt idx="3">
                  <c:v>26.105273943049855</c:v>
                </c:pt>
                <c:pt idx="4">
                  <c:v>31.047566787474697</c:v>
                </c:pt>
                <c:pt idx="5">
                  <c:v>51.110000000000007</c:v>
                </c:pt>
              </c:numCache>
            </c:numRef>
          </c:xVal>
          <c:yVal>
            <c:numRef>
              <c:f>Correlations!$M$120:$M$125</c:f>
              <c:numCache>
                <c:formatCode>"$"#,##0.00</c:formatCode>
                <c:ptCount val="6"/>
                <c:pt idx="0">
                  <c:v>0.73217285714248004</c:v>
                </c:pt>
                <c:pt idx="1">
                  <c:v>1.3711784618773772</c:v>
                </c:pt>
                <c:pt idx="2">
                  <c:v>0.73507137642927067</c:v>
                </c:pt>
                <c:pt idx="3">
                  <c:v>1.4040255087886204</c:v>
                </c:pt>
                <c:pt idx="4">
                  <c:v>2.3428089721506593</c:v>
                </c:pt>
                <c:pt idx="5">
                  <c:v>2.3431506841816638</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Correlations!$E$104:$Z$104</c:f>
              <c:numCache>
                <c:formatCode>"$"#,##0.00</c:formatCode>
                <c:ptCount val="22"/>
                <c:pt idx="0">
                  <c:v>1.3639408070735801</c:v>
                </c:pt>
                <c:pt idx="1">
                  <c:v>1.379243051669387</c:v>
                </c:pt>
                <c:pt idx="2">
                  <c:v>1.3945452962651945</c:v>
                </c:pt>
                <c:pt idx="3">
                  <c:v>1.4098475408610016</c:v>
                </c:pt>
                <c:pt idx="4">
                  <c:v>1.4251497854568078</c:v>
                </c:pt>
                <c:pt idx="5">
                  <c:v>1.4404520300526156</c:v>
                </c:pt>
                <c:pt idx="6">
                  <c:v>1.4557542746484229</c:v>
                </c:pt>
                <c:pt idx="7">
                  <c:v>1.4710565192442291</c:v>
                </c:pt>
                <c:pt idx="8">
                  <c:v>1.4863587638400366</c:v>
                </c:pt>
                <c:pt idx="9">
                  <c:v>1.5016610084358439</c:v>
                </c:pt>
                <c:pt idx="10">
                  <c:v>1.5169632530316506</c:v>
                </c:pt>
                <c:pt idx="11">
                  <c:v>1.5322654976274572</c:v>
                </c:pt>
                <c:pt idx="12">
                  <c:v>1.5475677422232641</c:v>
                </c:pt>
                <c:pt idx="13">
                  <c:v>1.5628699868190714</c:v>
                </c:pt>
                <c:pt idx="14">
                  <c:v>1.5781722314148785</c:v>
                </c:pt>
                <c:pt idx="15">
                  <c:v>1.5934744760106847</c:v>
                </c:pt>
                <c:pt idx="16">
                  <c:v>1.6087767206064925</c:v>
                </c:pt>
                <c:pt idx="17">
                  <c:v>1.6240789652022998</c:v>
                </c:pt>
                <c:pt idx="18">
                  <c:v>1.6393812097981073</c:v>
                </c:pt>
                <c:pt idx="19">
                  <c:v>1.6546834543939137</c:v>
                </c:pt>
                <c:pt idx="20">
                  <c:v>1.6699856989897197</c:v>
                </c:pt>
                <c:pt idx="21">
                  <c:v>1.6699856989897197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Correlations!$E$105:$Z$105</c:f>
              <c:numCache>
                <c:formatCode>"$"#,##0.00</c:formatCode>
                <c:ptCount val="22"/>
                <c:pt idx="0">
                  <c:v>0.73387639233091773</c:v>
                </c:pt>
                <c:pt idx="1">
                  <c:v>0.73521223619607345</c:v>
                </c:pt>
                <c:pt idx="2">
                  <c:v>0.73654808006122996</c:v>
                </c:pt>
                <c:pt idx="3">
                  <c:v>0.73788392392638646</c:v>
                </c:pt>
                <c:pt idx="4">
                  <c:v>0.73921976779154186</c:v>
                </c:pt>
                <c:pt idx="5">
                  <c:v>0.74055561165669814</c:v>
                </c:pt>
                <c:pt idx="6">
                  <c:v>0.74189145552185454</c:v>
                </c:pt>
                <c:pt idx="7">
                  <c:v>0.74322729938701038</c:v>
                </c:pt>
                <c:pt idx="8">
                  <c:v>0.74456314325216677</c:v>
                </c:pt>
                <c:pt idx="9">
                  <c:v>0.74589898711732272</c:v>
                </c:pt>
                <c:pt idx="10">
                  <c:v>0.74723483098247911</c:v>
                </c:pt>
                <c:pt idx="11">
                  <c:v>0.74857067484763518</c:v>
                </c:pt>
                <c:pt idx="12">
                  <c:v>0.74990651871279124</c:v>
                </c:pt>
                <c:pt idx="13">
                  <c:v>0.75124236257794741</c:v>
                </c:pt>
                <c:pt idx="14">
                  <c:v>0.75257820644310391</c:v>
                </c:pt>
                <c:pt idx="15">
                  <c:v>0.75391405030826009</c:v>
                </c:pt>
                <c:pt idx="16">
                  <c:v>0.75524989417341648</c:v>
                </c:pt>
                <c:pt idx="17">
                  <c:v>0.75658573803857265</c:v>
                </c:pt>
                <c:pt idx="18">
                  <c:v>0.75792158190372838</c:v>
                </c:pt>
                <c:pt idx="19">
                  <c:v>0.75925742576888477</c:v>
                </c:pt>
                <c:pt idx="20">
                  <c:v>0.76059326963404084</c:v>
                </c:pt>
                <c:pt idx="21">
                  <c:v>0.76059326963404084</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Costs,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2253840597768924E-2"/>
          <c:y val="0.69039418588062063"/>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Correlations!$A$109</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Correlations!$C$114</c:f>
              <c:strCache>
                <c:ptCount val="1"/>
                <c:pt idx="0">
                  <c:v>NPP-HTSE, PTC=$0/kg</c:v>
                </c:pt>
              </c:strCache>
            </c:strRef>
          </c:tx>
          <c:spPr>
            <a:ln w="63500" cap="rnd" cmpd="dbl">
              <a:solidFill>
                <a:srgbClr val="0070C0"/>
              </a:solidFill>
              <a:prstDash val="solid"/>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Correlations!$E$114:$Z$114</c:f>
              <c:numCache>
                <c:formatCode>"$"#,##0.00</c:formatCode>
                <c:ptCount val="22"/>
                <c:pt idx="0">
                  <c:v>2.3428135352435153</c:v>
                </c:pt>
                <c:pt idx="1">
                  <c:v>2.3428135352435158</c:v>
                </c:pt>
                <c:pt idx="2">
                  <c:v>2.3428135352435158</c:v>
                </c:pt>
                <c:pt idx="3">
                  <c:v>2.3428135352435158</c:v>
                </c:pt>
                <c:pt idx="4">
                  <c:v>2.3428135352435158</c:v>
                </c:pt>
                <c:pt idx="5">
                  <c:v>2.3428135352435158</c:v>
                </c:pt>
                <c:pt idx="6">
                  <c:v>2.3428135352435158</c:v>
                </c:pt>
                <c:pt idx="7">
                  <c:v>2.3428135352435158</c:v>
                </c:pt>
                <c:pt idx="8">
                  <c:v>2.3428135352435158</c:v>
                </c:pt>
                <c:pt idx="9">
                  <c:v>2.3428135352435158</c:v>
                </c:pt>
                <c:pt idx="10">
                  <c:v>2.3428135352435158</c:v>
                </c:pt>
                <c:pt idx="11">
                  <c:v>2.3428135352435158</c:v>
                </c:pt>
                <c:pt idx="12">
                  <c:v>2.3428135352435158</c:v>
                </c:pt>
                <c:pt idx="13">
                  <c:v>2.3428135352435158</c:v>
                </c:pt>
                <c:pt idx="14">
                  <c:v>2.3428135352435158</c:v>
                </c:pt>
                <c:pt idx="15">
                  <c:v>2.3428135352435158</c:v>
                </c:pt>
                <c:pt idx="16">
                  <c:v>2.3428135352435158</c:v>
                </c:pt>
                <c:pt idx="17">
                  <c:v>2.3428135352435158</c:v>
                </c:pt>
                <c:pt idx="18">
                  <c:v>2.3428135352435158</c:v>
                </c:pt>
                <c:pt idx="19">
                  <c:v>2.3428135352435158</c:v>
                </c:pt>
                <c:pt idx="20">
                  <c:v>2.3428135352435158</c:v>
                </c:pt>
                <c:pt idx="21">
                  <c:v>2.3428135352435153</c:v>
                </c:pt>
              </c:numCache>
            </c:numRef>
          </c:yVal>
          <c:smooth val="0"/>
          <c:extLst>
            <c:ext xmlns:c16="http://schemas.microsoft.com/office/drawing/2014/chart" uri="{C3380CC4-5D6E-409C-BE32-E72D297353CC}">
              <c16:uniqueId val="{00000002-A58F-4AB3-B95C-536C4CBDAC4B}"/>
            </c:ext>
          </c:extLst>
        </c:ser>
        <c:ser>
          <c:idx val="2"/>
          <c:order val="1"/>
          <c:tx>
            <c:strRef>
              <c:f>Correlations!$C$115</c:f>
              <c:strCache>
                <c:ptCount val="1"/>
                <c:pt idx="0">
                  <c:v>NPP-HTSE, PTC=$3/kg</c:v>
                </c:pt>
              </c:strCache>
            </c:strRef>
          </c:tx>
          <c:spPr>
            <a:ln w="38100" cap="rnd" cmpd="dbl">
              <a:solidFill>
                <a:srgbClr val="0070C0"/>
              </a:solidFill>
              <a:prstDash val="dash"/>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Correlations!$E$115:$Z$115</c:f>
              <c:numCache>
                <c:formatCode>"$"#,##0.00</c:formatCode>
                <c:ptCount val="22"/>
                <c:pt idx="0">
                  <c:v>1.5879390481319045</c:v>
                </c:pt>
                <c:pt idx="1">
                  <c:v>1.5879390481319049</c:v>
                </c:pt>
                <c:pt idx="2">
                  <c:v>1.5879390481319049</c:v>
                </c:pt>
                <c:pt idx="3">
                  <c:v>1.5879390481319049</c:v>
                </c:pt>
                <c:pt idx="4">
                  <c:v>1.5879390481319049</c:v>
                </c:pt>
                <c:pt idx="5">
                  <c:v>1.5879390481319049</c:v>
                </c:pt>
                <c:pt idx="6">
                  <c:v>1.5879390481319049</c:v>
                </c:pt>
                <c:pt idx="7">
                  <c:v>1.5879390481319049</c:v>
                </c:pt>
                <c:pt idx="8">
                  <c:v>1.5879390481319049</c:v>
                </c:pt>
                <c:pt idx="9">
                  <c:v>1.5879390481319049</c:v>
                </c:pt>
                <c:pt idx="10">
                  <c:v>1.5879390481319049</c:v>
                </c:pt>
                <c:pt idx="11">
                  <c:v>1.5879390481319049</c:v>
                </c:pt>
                <c:pt idx="12">
                  <c:v>1.5879390481319049</c:v>
                </c:pt>
                <c:pt idx="13">
                  <c:v>1.5879390481319049</c:v>
                </c:pt>
                <c:pt idx="14">
                  <c:v>1.5879390481319049</c:v>
                </c:pt>
                <c:pt idx="15">
                  <c:v>1.5879390481319049</c:v>
                </c:pt>
                <c:pt idx="16">
                  <c:v>1.5879390481319049</c:v>
                </c:pt>
                <c:pt idx="17">
                  <c:v>1.5879390481319049</c:v>
                </c:pt>
                <c:pt idx="18">
                  <c:v>1.5879390481319049</c:v>
                </c:pt>
                <c:pt idx="19">
                  <c:v>1.5879390481319049</c:v>
                </c:pt>
                <c:pt idx="20">
                  <c:v>1.5879390481319049</c:v>
                </c:pt>
                <c:pt idx="21">
                  <c:v>1.5879390481319045</c:v>
                </c:pt>
              </c:numCache>
            </c:numRef>
          </c:yVal>
          <c:smooth val="0"/>
          <c:extLst>
            <c:ext xmlns:c16="http://schemas.microsoft.com/office/drawing/2014/chart" uri="{C3380CC4-5D6E-409C-BE32-E72D297353CC}">
              <c16:uniqueId val="{00000003-A58F-4AB3-B95C-536C4CBDAC4B}"/>
            </c:ext>
          </c:extLst>
        </c:ser>
        <c:ser>
          <c:idx val="3"/>
          <c:order val="2"/>
          <c:tx>
            <c:strRef>
              <c:f>Correlations!$C$113</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Correlations!$E$113:$Z$113</c:f>
              <c:numCache>
                <c:formatCode>"$"#,##0.00</c:formatCode>
                <c:ptCount val="22"/>
                <c:pt idx="0" formatCode="General">
                  <c:v>2.3428135352435149</c:v>
                </c:pt>
                <c:pt idx="1">
                  <c:v>2.3428135352435149</c:v>
                </c:pt>
                <c:pt idx="2">
                  <c:v>2.3428135352435149</c:v>
                </c:pt>
                <c:pt idx="3">
                  <c:v>2.3428135352435149</c:v>
                </c:pt>
                <c:pt idx="4">
                  <c:v>2.3428135352435149</c:v>
                </c:pt>
                <c:pt idx="5">
                  <c:v>2.3428135352435149</c:v>
                </c:pt>
                <c:pt idx="6">
                  <c:v>2.3428135352435149</c:v>
                </c:pt>
                <c:pt idx="7">
                  <c:v>2.3428135352435149</c:v>
                </c:pt>
                <c:pt idx="8">
                  <c:v>2.3428135352435149</c:v>
                </c:pt>
                <c:pt idx="9">
                  <c:v>2.3428135352435149</c:v>
                </c:pt>
                <c:pt idx="10">
                  <c:v>2.3428135352435149</c:v>
                </c:pt>
                <c:pt idx="11">
                  <c:v>2.3428135352435149</c:v>
                </c:pt>
                <c:pt idx="12">
                  <c:v>2.3428135352435149</c:v>
                </c:pt>
                <c:pt idx="13">
                  <c:v>2.3428135352435149</c:v>
                </c:pt>
                <c:pt idx="14">
                  <c:v>2.3428135352435149</c:v>
                </c:pt>
                <c:pt idx="15">
                  <c:v>2.3428135352435149</c:v>
                </c:pt>
                <c:pt idx="16">
                  <c:v>2.3428135352435149</c:v>
                </c:pt>
                <c:pt idx="17">
                  <c:v>2.3428135352435149</c:v>
                </c:pt>
                <c:pt idx="18">
                  <c:v>2.3428135352435149</c:v>
                </c:pt>
                <c:pt idx="19">
                  <c:v>2.3428135352435149</c:v>
                </c:pt>
                <c:pt idx="20">
                  <c:v>2.3428135352435149</c:v>
                </c:pt>
                <c:pt idx="21">
                  <c:v>2.3428135352435149</c:v>
                </c:pt>
              </c:numCache>
            </c:numRef>
          </c:yVal>
          <c:smooth val="0"/>
          <c:extLst>
            <c:ext xmlns:c16="http://schemas.microsoft.com/office/drawing/2014/chart" uri="{C3380CC4-5D6E-409C-BE32-E72D297353CC}">
              <c16:uniqueId val="{00000004-A58F-4AB3-B95C-536C4CBDAC4B}"/>
            </c:ext>
          </c:extLst>
        </c:ser>
        <c:ser>
          <c:idx val="0"/>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0"/>
              <c:layout>
                <c:manualLayout>
                  <c:x val="-0.12250966565332547"/>
                  <c:y val="-0.15874735421076319"/>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86F-4300-94E2-F59B895FE17A}"/>
                </c:ext>
              </c:extLst>
            </c:dLbl>
            <c:dLbl>
              <c:idx val="1"/>
              <c:layout>
                <c:manualLayout>
                  <c:x val="2.7236486434532543E-2"/>
                  <c:y val="6.1481266978883682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8.715687164592241E-2"/>
                  <c:y val="-9.944329531251523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9C-4730-9FAA-6CD03749955C}"/>
                </c:ext>
              </c:extLst>
            </c:dLbl>
            <c:dLbl>
              <c:idx val="3"/>
              <c:layout>
                <c:manualLayout>
                  <c:x val="9.0788288115107169E-3"/>
                  <c:y val="0.1465650572490458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Correlations!$K$120:$K$123</c:f>
              <c:numCache>
                <c:formatCode>"$"#,##0.00</c:formatCode>
                <c:ptCount val="4"/>
                <c:pt idx="0">
                  <c:v>3.9975253611286874</c:v>
                </c:pt>
                <c:pt idx="1">
                  <c:v>8.2869676758378485</c:v>
                </c:pt>
                <c:pt idx="2">
                  <c:v>8.4155301989030971</c:v>
                </c:pt>
                <c:pt idx="3">
                  <c:v>12.985645736908161</c:v>
                </c:pt>
              </c:numCache>
            </c:numRef>
          </c:xVal>
          <c:yVal>
            <c:numRef>
              <c:f>Correlations!$J$120:$J$123</c:f>
              <c:numCache>
                <c:formatCode>"$"#,##0.00</c:formatCode>
                <c:ptCount val="4"/>
                <c:pt idx="0">
                  <c:v>1.5879390481319045</c:v>
                </c:pt>
                <c:pt idx="1">
                  <c:v>1.5879390481319045</c:v>
                </c:pt>
                <c:pt idx="2">
                  <c:v>2.3428135352435153</c:v>
                </c:pt>
                <c:pt idx="3">
                  <c:v>2.3428135352435153</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Correlations!$C$111</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Correlations!$E$111:$Z$111</c:f>
              <c:numCache>
                <c:formatCode>"$"#,##0.00</c:formatCode>
                <c:ptCount val="22"/>
                <c:pt idx="0">
                  <c:v>0.9049090340186059</c:v>
                </c:pt>
                <c:pt idx="1">
                  <c:v>1.0757722437320389</c:v>
                </c:pt>
                <c:pt idx="2">
                  <c:v>1.246635453445472</c:v>
                </c:pt>
                <c:pt idx="3">
                  <c:v>1.4174986631589055</c:v>
                </c:pt>
                <c:pt idx="4">
                  <c:v>1.5883618728723379</c:v>
                </c:pt>
                <c:pt idx="5">
                  <c:v>1.7592250825857709</c:v>
                </c:pt>
                <c:pt idx="6">
                  <c:v>1.9300882922992038</c:v>
                </c:pt>
                <c:pt idx="7">
                  <c:v>2.100951502012637</c:v>
                </c:pt>
                <c:pt idx="8">
                  <c:v>2.2718147117260714</c:v>
                </c:pt>
                <c:pt idx="9">
                  <c:v>2.4426779214395036</c:v>
                </c:pt>
                <c:pt idx="10">
                  <c:v>2.6135411311529362</c:v>
                </c:pt>
                <c:pt idx="11">
                  <c:v>2.7844043408663692</c:v>
                </c:pt>
                <c:pt idx="12">
                  <c:v>2.9552675505798023</c:v>
                </c:pt>
                <c:pt idx="13">
                  <c:v>3.1261307602932362</c:v>
                </c:pt>
                <c:pt idx="14">
                  <c:v>3.2969939700066702</c:v>
                </c:pt>
                <c:pt idx="15">
                  <c:v>3.4678571797200992</c:v>
                </c:pt>
                <c:pt idx="16">
                  <c:v>3.6387203894335354</c:v>
                </c:pt>
                <c:pt idx="17">
                  <c:v>3.8095835991469666</c:v>
                </c:pt>
                <c:pt idx="18">
                  <c:v>3.9804468088603997</c:v>
                </c:pt>
                <c:pt idx="19">
                  <c:v>4.1513100185738319</c:v>
                </c:pt>
                <c:pt idx="20">
                  <c:v>4.3221732282872667</c:v>
                </c:pt>
                <c:pt idx="21">
                  <c:v>4.3221732282872667</c:v>
                </c:pt>
              </c:numCache>
            </c:numRef>
          </c:yVal>
          <c:smooth val="0"/>
          <c:extLst>
            <c:ext xmlns:c16="http://schemas.microsoft.com/office/drawing/2014/chart" uri="{C3380CC4-5D6E-409C-BE32-E72D297353CC}">
              <c16:uniqueId val="{00000000-14F0-4897-9F31-6BD709A56266}"/>
            </c:ext>
          </c:extLst>
        </c:ser>
        <c:ser>
          <c:idx val="5"/>
          <c:order val="5"/>
          <c:tx>
            <c:strRef>
              <c:f>Correlations!$C$112</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Correlations!$E$112:$Z$112</c:f>
              <c:numCache>
                <c:formatCode>"$"#,##0.00</c:formatCode>
                <c:ptCount val="22"/>
                <c:pt idx="0">
                  <c:v>0.25658150613771613</c:v>
                </c:pt>
                <c:pt idx="1">
                  <c:v>0.41723828604479879</c:v>
                </c:pt>
                <c:pt idx="2">
                  <c:v>0.57789506595188123</c:v>
                </c:pt>
                <c:pt idx="3">
                  <c:v>0.73855184585896372</c:v>
                </c:pt>
                <c:pt idx="4">
                  <c:v>0.89920862576604699</c:v>
                </c:pt>
                <c:pt idx="5">
                  <c:v>1.0598654056731294</c:v>
                </c:pt>
                <c:pt idx="6">
                  <c:v>1.2205221855802113</c:v>
                </c:pt>
                <c:pt idx="7">
                  <c:v>1.3811789654872935</c:v>
                </c:pt>
                <c:pt idx="8">
                  <c:v>1.5418357453943761</c:v>
                </c:pt>
                <c:pt idx="9">
                  <c:v>1.7024925253014582</c:v>
                </c:pt>
                <c:pt idx="10">
                  <c:v>1.8631493052085417</c:v>
                </c:pt>
                <c:pt idx="11">
                  <c:v>2.023806085115623</c:v>
                </c:pt>
                <c:pt idx="12">
                  <c:v>2.1844628650227076</c:v>
                </c:pt>
                <c:pt idx="13">
                  <c:v>2.34511964492979</c:v>
                </c:pt>
                <c:pt idx="14">
                  <c:v>2.5057764248368715</c:v>
                </c:pt>
                <c:pt idx="15">
                  <c:v>2.6664332047439547</c:v>
                </c:pt>
                <c:pt idx="16">
                  <c:v>2.8270899846510376</c:v>
                </c:pt>
                <c:pt idx="17">
                  <c:v>2.9877467645581191</c:v>
                </c:pt>
                <c:pt idx="18">
                  <c:v>3.1484035444652041</c:v>
                </c:pt>
                <c:pt idx="19">
                  <c:v>3.3090603243722834</c:v>
                </c:pt>
                <c:pt idx="20">
                  <c:v>3.469717104279368</c:v>
                </c:pt>
                <c:pt idx="21">
                  <c:v>3.469717104279368</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-287836782.39431792</c:v>
                </c:pt>
                <c:pt idx="1">
                  <c:v>13266984.40837449</c:v>
                </c:pt>
                <c:pt idx="2">
                  <c:v>182825897.90811622</c:v>
                </c:pt>
                <c:pt idx="3">
                  <c:v>185229117.95476085</c:v>
                </c:pt>
                <c:pt idx="4">
                  <c:v>182193154.7461344</c:v>
                </c:pt>
                <c:pt idx="5">
                  <c:v>179318762.64283419</c:v>
                </c:pt>
                <c:pt idx="6">
                  <c:v>135095445.48820719</c:v>
                </c:pt>
                <c:pt idx="7">
                  <c:v>203666843.20718348</c:v>
                </c:pt>
                <c:pt idx="8">
                  <c:v>199366617.63101617</c:v>
                </c:pt>
                <c:pt idx="9">
                  <c:v>195818233.75961688</c:v>
                </c:pt>
                <c:pt idx="10">
                  <c:v>192684357.88933218</c:v>
                </c:pt>
                <c:pt idx="11">
                  <c:v>5937168.638723202</c:v>
                </c:pt>
                <c:pt idx="12">
                  <c:v>67166852.926014036</c:v>
                </c:pt>
                <c:pt idx="13">
                  <c:v>62498729.868423447</c:v>
                </c:pt>
                <c:pt idx="14">
                  <c:v>58396387.381965533</c:v>
                </c:pt>
                <c:pt idx="15">
                  <c:v>54867488.715549931</c:v>
                </c:pt>
                <c:pt idx="16">
                  <c:v>19532427.772722758</c:v>
                </c:pt>
                <c:pt idx="17">
                  <c:v>73606624.952210143</c:v>
                </c:pt>
                <c:pt idx="18">
                  <c:v>68129111.515397727</c:v>
                </c:pt>
                <c:pt idx="19">
                  <c:v>63495728.39360337</c:v>
                </c:pt>
                <c:pt idx="20">
                  <c:v>124166005.92631423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-287836782.39431792</c:v>
                </c:pt>
                <c:pt idx="1">
                  <c:v>-274569797.98594344</c:v>
                </c:pt>
                <c:pt idx="2">
                  <c:v>-91743900.077827215</c:v>
                </c:pt>
                <c:pt idx="3">
                  <c:v>93485217.876933634</c:v>
                </c:pt>
                <c:pt idx="4">
                  <c:v>275678372.62306803</c:v>
                </c:pt>
                <c:pt idx="5">
                  <c:v>454997135.26590222</c:v>
                </c:pt>
                <c:pt idx="6">
                  <c:v>590092580.75410938</c:v>
                </c:pt>
                <c:pt idx="7">
                  <c:v>793759423.96129286</c:v>
                </c:pt>
                <c:pt idx="8">
                  <c:v>993126041.592309</c:v>
                </c:pt>
                <c:pt idx="9">
                  <c:v>1188944275.3519258</c:v>
                </c:pt>
                <c:pt idx="10">
                  <c:v>1381628633.2412581</c:v>
                </c:pt>
                <c:pt idx="11">
                  <c:v>1387565801.8799813</c:v>
                </c:pt>
                <c:pt idx="12">
                  <c:v>1454732654.8059952</c:v>
                </c:pt>
                <c:pt idx="13">
                  <c:v>1517231384.6744187</c:v>
                </c:pt>
                <c:pt idx="14">
                  <c:v>1575627772.0563843</c:v>
                </c:pt>
                <c:pt idx="15">
                  <c:v>1630495260.7719343</c:v>
                </c:pt>
                <c:pt idx="16">
                  <c:v>1650027688.544657</c:v>
                </c:pt>
                <c:pt idx="17">
                  <c:v>1723634313.4968672</c:v>
                </c:pt>
                <c:pt idx="18">
                  <c:v>1791763425.012265</c:v>
                </c:pt>
                <c:pt idx="19">
                  <c:v>1855259153.4058683</c:v>
                </c:pt>
                <c:pt idx="20">
                  <c:v>1979425159.3321824</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IRA</a:t>
                </a:r>
                <a:r>
                  <a:rPr lang="en-US" b="1" baseline="0"/>
                  <a:t> 45V</a:t>
                </a:r>
                <a:r>
                  <a:rPr lang="en-US" b="1"/>
                  <a:t>,</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Correlations!$F$3:$L$3</c:f>
              <c:numCache>
                <c:formatCode>General</c:formatCode>
                <c:ptCount val="7"/>
                <c:pt idx="0">
                  <c:v>25</c:v>
                </c:pt>
                <c:pt idx="1">
                  <c:v>50</c:v>
                </c:pt>
                <c:pt idx="2">
                  <c:v>100</c:v>
                </c:pt>
                <c:pt idx="3">
                  <c:v>200</c:v>
                </c:pt>
                <c:pt idx="4">
                  <c:v>400</c:v>
                </c:pt>
                <c:pt idx="5">
                  <c:v>800</c:v>
                </c:pt>
                <c:pt idx="6">
                  <c:v>1600</c:v>
                </c:pt>
              </c:numCache>
            </c:numRef>
          </c:xVal>
          <c:yVal>
            <c:numRef>
              <c:f>Correlations!$F$6:$L$6</c:f>
              <c:numCache>
                <c:formatCode>"$"#,##0</c:formatCode>
                <c:ptCount val="7"/>
                <c:pt idx="0">
                  <c:v>1516.0247057478216</c:v>
                </c:pt>
                <c:pt idx="1">
                  <c:v>1340.8961722294393</c:v>
                </c:pt>
                <c:pt idx="2">
                  <c:v>1212.916826068345</c:v>
                </c:pt>
                <c:pt idx="3">
                  <c:v>1115.2746105842957</c:v>
                </c:pt>
                <c:pt idx="4">
                  <c:v>1037.0312867233592</c:v>
                </c:pt>
                <c:pt idx="5">
                  <c:v>971.97004806665132</c:v>
                </c:pt>
                <c:pt idx="6">
                  <c:v>916.35006859124519</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Correlations!$F$104:$T$104</c:f>
              <c:numCache>
                <c:formatCode>"$"#,##0.00</c:formatCode>
                <c:ptCount val="15"/>
                <c:pt idx="0">
                  <c:v>1.379243051669387</c:v>
                </c:pt>
                <c:pt idx="1">
                  <c:v>1.3945452962651945</c:v>
                </c:pt>
                <c:pt idx="2">
                  <c:v>1.4098475408610016</c:v>
                </c:pt>
                <c:pt idx="3">
                  <c:v>1.4251497854568078</c:v>
                </c:pt>
                <c:pt idx="4">
                  <c:v>1.4404520300526156</c:v>
                </c:pt>
                <c:pt idx="5">
                  <c:v>1.4557542746484229</c:v>
                </c:pt>
                <c:pt idx="6">
                  <c:v>1.4710565192442291</c:v>
                </c:pt>
                <c:pt idx="7">
                  <c:v>1.4863587638400366</c:v>
                </c:pt>
                <c:pt idx="8">
                  <c:v>1.5016610084358439</c:v>
                </c:pt>
                <c:pt idx="9">
                  <c:v>1.5169632530316506</c:v>
                </c:pt>
                <c:pt idx="10">
                  <c:v>1.5322654976274572</c:v>
                </c:pt>
                <c:pt idx="11">
                  <c:v>1.5475677422232641</c:v>
                </c:pt>
                <c:pt idx="12">
                  <c:v>1.5628699868190714</c:v>
                </c:pt>
                <c:pt idx="13">
                  <c:v>1.5781722314148785</c:v>
                </c:pt>
                <c:pt idx="14">
                  <c:v>1.5934744760106847</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Correlations!$F$105:$T$105</c:f>
              <c:numCache>
                <c:formatCode>"$"#,##0.00</c:formatCode>
                <c:ptCount val="15"/>
                <c:pt idx="0">
                  <c:v>0.73521223619607345</c:v>
                </c:pt>
                <c:pt idx="1">
                  <c:v>0.73654808006122996</c:v>
                </c:pt>
                <c:pt idx="2">
                  <c:v>0.73788392392638646</c:v>
                </c:pt>
                <c:pt idx="3">
                  <c:v>0.73921976779154186</c:v>
                </c:pt>
                <c:pt idx="4">
                  <c:v>0.74055561165669814</c:v>
                </c:pt>
                <c:pt idx="5">
                  <c:v>0.74189145552185454</c:v>
                </c:pt>
                <c:pt idx="6">
                  <c:v>0.74322729938701038</c:v>
                </c:pt>
                <c:pt idx="7">
                  <c:v>0.74456314325216677</c:v>
                </c:pt>
                <c:pt idx="8">
                  <c:v>0.74589898711732272</c:v>
                </c:pt>
                <c:pt idx="9">
                  <c:v>0.74723483098247911</c:v>
                </c:pt>
                <c:pt idx="10">
                  <c:v>0.74857067484763518</c:v>
                </c:pt>
                <c:pt idx="11">
                  <c:v>0.74990651871279124</c:v>
                </c:pt>
                <c:pt idx="12">
                  <c:v>0.75124236257794741</c:v>
                </c:pt>
                <c:pt idx="13">
                  <c:v>0.75257820644310391</c:v>
                </c:pt>
                <c:pt idx="14">
                  <c:v>0.75391405030826009</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Correlations!$F$10:$L$10</c:f>
              <c:numCache>
                <c:formatCode>General</c:formatCode>
                <c:ptCount val="7"/>
                <c:pt idx="0">
                  <c:v>25</c:v>
                </c:pt>
                <c:pt idx="1">
                  <c:v>50</c:v>
                </c:pt>
                <c:pt idx="2">
                  <c:v>100</c:v>
                </c:pt>
                <c:pt idx="3">
                  <c:v>200</c:v>
                </c:pt>
                <c:pt idx="4">
                  <c:v>400</c:v>
                </c:pt>
                <c:pt idx="5">
                  <c:v>800</c:v>
                </c:pt>
                <c:pt idx="6">
                  <c:v>1600</c:v>
                </c:pt>
              </c:numCache>
            </c:numRef>
          </c:xVal>
          <c:yVal>
            <c:numRef>
              <c:f>Correlations!$F$13:$L$13</c:f>
              <c:numCache>
                <c:formatCode>"$"#,##0</c:formatCode>
                <c:ptCount val="7"/>
                <c:pt idx="0">
                  <c:v>1259.7681175535331</c:v>
                </c:pt>
                <c:pt idx="1">
                  <c:v>1104.8639066600886</c:v>
                </c:pt>
                <c:pt idx="2">
                  <c:v>1005.6053164415533</c:v>
                </c:pt>
                <c:pt idx="3">
                  <c:v>940.37990006947064</c:v>
                </c:pt>
                <c:pt idx="4">
                  <c:v>896.57605171250259</c:v>
                </c:pt>
                <c:pt idx="5">
                  <c:v>866.61746378354985</c:v>
                </c:pt>
                <c:pt idx="6">
                  <c:v>845.81899604795603</c:v>
                </c:pt>
              </c:numCache>
            </c:numRef>
          </c:yVal>
          <c:smooth val="0"/>
          <c:extLst>
            <c:ext xmlns:c16="http://schemas.microsoft.com/office/drawing/2014/chart" uri="{C3380CC4-5D6E-409C-BE32-E72D297353CC}">
              <c16:uniqueId val="{00000001-9ABE-4827-AFCA-4364B31C4545}"/>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15551</xdr:colOff>
      <xdr:row>69</xdr:row>
      <xdr:rowOff>111354</xdr:rowOff>
    </xdr:from>
    <xdr:to>
      <xdr:col>25</xdr:col>
      <xdr:colOff>540252</xdr:colOff>
      <xdr:row>81</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69</xdr:row>
      <xdr:rowOff>62778</xdr:rowOff>
    </xdr:from>
    <xdr:to>
      <xdr:col>9</xdr:col>
      <xdr:colOff>234043</xdr:colOff>
      <xdr:row>72</xdr:row>
      <xdr:rowOff>34891</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1458939" y="21917943"/>
          <a:ext cx="4755269" cy="6629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458754</xdr:colOff>
      <xdr:row>10</xdr:row>
      <xdr:rowOff>40163</xdr:rowOff>
    </xdr:from>
    <xdr:to>
      <xdr:col>25</xdr:col>
      <xdr:colOff>569945</xdr:colOff>
      <xdr:row>18</xdr:row>
      <xdr:rowOff>367392</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93634</xdr:colOff>
      <xdr:row>86</xdr:row>
      <xdr:rowOff>110594</xdr:rowOff>
    </xdr:from>
    <xdr:to>
      <xdr:col>25</xdr:col>
      <xdr:colOff>291391</xdr:colOff>
      <xdr:row>105</xdr:row>
      <xdr:rowOff>184499</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83</xdr:row>
      <xdr:rowOff>218684</xdr:rowOff>
    </xdr:from>
    <xdr:to>
      <xdr:col>8</xdr:col>
      <xdr:colOff>441476</xdr:colOff>
      <xdr:row>85</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22</xdr:col>
      <xdr:colOff>417285</xdr:colOff>
      <xdr:row>46</xdr:row>
      <xdr:rowOff>93879</xdr:rowOff>
    </xdr:from>
    <xdr:to>
      <xdr:col>25</xdr:col>
      <xdr:colOff>547912</xdr:colOff>
      <xdr:row>48</xdr:row>
      <xdr:rowOff>371929</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13824856" y="14735165"/>
          <a:ext cx="1845127" cy="90397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106</xdr:row>
      <xdr:rowOff>2781</xdr:rowOff>
    </xdr:from>
    <xdr:to>
      <xdr:col>12</xdr:col>
      <xdr:colOff>405311</xdr:colOff>
      <xdr:row>108</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0</xdr:col>
      <xdr:colOff>129267</xdr:colOff>
      <xdr:row>14</xdr:row>
      <xdr:rowOff>40823</xdr:rowOff>
    </xdr:from>
    <xdr:to>
      <xdr:col>0</xdr:col>
      <xdr:colOff>1347106</xdr:colOff>
      <xdr:row>14</xdr:row>
      <xdr:rowOff>340179</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29267" y="4184198"/>
          <a:ext cx="1217839" cy="29935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LCOH ($ 2022)</a:t>
          </a:r>
        </a:p>
      </xdr:txBody>
    </xdr:sp>
    <xdr:clientData/>
  </xdr:twoCellAnchor>
  <xdr:twoCellAnchor>
    <xdr:from>
      <xdr:col>0</xdr:col>
      <xdr:colOff>27214</xdr:colOff>
      <xdr:row>18</xdr:row>
      <xdr:rowOff>47627</xdr:rowOff>
    </xdr:from>
    <xdr:to>
      <xdr:col>0</xdr:col>
      <xdr:colOff>1353910</xdr:colOff>
      <xdr:row>18</xdr:row>
      <xdr:rowOff>353787</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27214" y="5470073"/>
          <a:ext cx="1326696" cy="306160"/>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NPVH2 ($ Million)</a:t>
          </a:r>
        </a:p>
      </xdr:txBody>
    </xdr:sp>
    <xdr:clientData/>
  </xdr:twoCellAnchor>
  <xdr:twoCellAnchor>
    <xdr:from>
      <xdr:col>0</xdr:col>
      <xdr:colOff>1295539</xdr:colOff>
      <xdr:row>86</xdr:row>
      <xdr:rowOff>113137</xdr:rowOff>
    </xdr:from>
    <xdr:to>
      <xdr:col>13</xdr:col>
      <xdr:colOff>27567</xdr:colOff>
      <xdr:row>105</xdr:row>
      <xdr:rowOff>185707</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459727</xdr:colOff>
      <xdr:row>19</xdr:row>
      <xdr:rowOff>40822</xdr:rowOff>
    </xdr:from>
    <xdr:to>
      <xdr:col>25</xdr:col>
      <xdr:colOff>560093</xdr:colOff>
      <xdr:row>27</xdr:row>
      <xdr:rowOff>54428</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19</xdr:col>
      <xdr:colOff>97669</xdr:colOff>
      <xdr:row>83</xdr:row>
      <xdr:rowOff>9071</xdr:rowOff>
    </xdr:from>
    <xdr:to>
      <xdr:col>26</xdr:col>
      <xdr:colOff>0</xdr:colOff>
      <xdr:row>85</xdr:row>
      <xdr:rowOff>238810</xdr:rowOff>
    </xdr:to>
    <xdr:sp macro="[0]!Input_Click_T" textlink="">
      <xdr:nvSpPr>
        <xdr:cNvPr id="19" name="Rectangle 18">
          <a:extLst>
            <a:ext uri="{FF2B5EF4-FFF2-40B4-BE49-F238E27FC236}">
              <a16:creationId xmlns:a16="http://schemas.microsoft.com/office/drawing/2014/main" id="{AB0D7507-6561-4A76-A8C1-797FA78D16A2}"/>
            </a:ext>
          </a:extLst>
        </xdr:cNvPr>
        <xdr:cNvSpPr/>
      </xdr:nvSpPr>
      <xdr:spPr>
        <a:xfrm>
          <a:off x="11790740" y="25336500"/>
          <a:ext cx="3902831" cy="71959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Define</a:t>
          </a:r>
          <a:r>
            <a:rPr lang="en-US" sz="2000" b="1" u="sng" baseline="0"/>
            <a:t> User-specific electricity and Natural Gas price</a:t>
          </a:r>
          <a:endParaRPr lang="en-US" sz="2000" b="1" u="sng"/>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87085</xdr:colOff>
      <xdr:row>0</xdr:row>
      <xdr:rowOff>70756</xdr:rowOff>
    </xdr:from>
    <xdr:to>
      <xdr:col>1</xdr:col>
      <xdr:colOff>2901041</xdr:colOff>
      <xdr:row>0</xdr:row>
      <xdr:rowOff>446314</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66699" y="70756"/>
          <a:ext cx="2813956" cy="3755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124162</xdr:colOff>
      <xdr:row>0</xdr:row>
      <xdr:rowOff>129801</xdr:rowOff>
    </xdr:from>
    <xdr:to>
      <xdr:col>9</xdr:col>
      <xdr:colOff>1548376</xdr:colOff>
      <xdr:row>1</xdr:row>
      <xdr:rowOff>223355</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954162" y="129801"/>
          <a:ext cx="1424214" cy="253684"/>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3</xdr:col>
      <xdr:colOff>31397</xdr:colOff>
      <xdr:row>1</xdr:row>
      <xdr:rowOff>78511</xdr:rowOff>
    </xdr:from>
    <xdr:to>
      <xdr:col>4</xdr:col>
      <xdr:colOff>1393214</xdr:colOff>
      <xdr:row>1</xdr:row>
      <xdr:rowOff>425450</xdr:rowOff>
    </xdr:to>
    <xdr:sp macro="[0]!RectangleRoundedCorners3_Click" textlink="">
      <xdr:nvSpPr>
        <xdr:cNvPr id="6" name="Rectangle 5">
          <a:extLst>
            <a:ext uri="{FF2B5EF4-FFF2-40B4-BE49-F238E27FC236}">
              <a16:creationId xmlns:a16="http://schemas.microsoft.com/office/drawing/2014/main" id="{BA657D09-70C7-4EBF-B3A7-99843E7B1349}"/>
            </a:ext>
          </a:extLst>
        </xdr:cNvPr>
        <xdr:cNvSpPr/>
      </xdr:nvSpPr>
      <xdr:spPr>
        <a:xfrm>
          <a:off x="4997097" y="237261"/>
          <a:ext cx="2644517" cy="34693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Rest to Default</a:t>
          </a:r>
          <a:r>
            <a:rPr lang="en-US" sz="1500" b="0" u="sng" baseline="0"/>
            <a:t> Value</a:t>
          </a:r>
          <a:endParaRPr lang="en-US" sz="1500" b="0" u="sng"/>
        </a:p>
      </xdr:txBody>
    </xdr:sp>
    <xdr:clientData/>
  </xdr:twoCellAnchor>
  <xdr:twoCellAnchor>
    <xdr:from>
      <xdr:col>1</xdr:col>
      <xdr:colOff>2078067</xdr:colOff>
      <xdr:row>1</xdr:row>
      <xdr:rowOff>69062</xdr:rowOff>
    </xdr:from>
    <xdr:to>
      <xdr:col>2</xdr:col>
      <xdr:colOff>1003061</xdr:colOff>
      <xdr:row>1</xdr:row>
      <xdr:rowOff>444500</xdr:rowOff>
    </xdr:to>
    <xdr:sp macro="[0]!Input_Click_Input_Default_T" textlink="">
      <xdr:nvSpPr>
        <xdr:cNvPr id="3" name="Rectangle 2">
          <a:extLst>
            <a:ext uri="{FF2B5EF4-FFF2-40B4-BE49-F238E27FC236}">
              <a16:creationId xmlns:a16="http://schemas.microsoft.com/office/drawing/2014/main" id="{78D4191C-FA14-4CC3-B337-7EAB745ED054}"/>
            </a:ext>
          </a:extLst>
        </xdr:cNvPr>
        <xdr:cNvSpPr/>
      </xdr:nvSpPr>
      <xdr:spPr>
        <a:xfrm>
          <a:off x="2363817" y="227812"/>
          <a:ext cx="2423844" cy="37543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Go to Default</a:t>
          </a:r>
          <a:r>
            <a:rPr lang="en-US" sz="1500" b="0" u="sng" baseline="0"/>
            <a:t> Value</a:t>
          </a:r>
          <a:endParaRPr lang="en-US" sz="1500" b="0" u="sng"/>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21</xdr:row>
      <xdr:rowOff>5442</xdr:rowOff>
    </xdr:from>
    <xdr:to>
      <xdr:col>1</xdr:col>
      <xdr:colOff>805542</xdr:colOff>
      <xdr:row>22</xdr:row>
      <xdr:rowOff>152400</xdr:rowOff>
    </xdr:to>
    <xdr:sp macro="[0]!Input_Click_F" textlink="">
      <xdr:nvSpPr>
        <xdr:cNvPr id="2" name="Rectangle 1">
          <a:extLst>
            <a:ext uri="{FF2B5EF4-FFF2-40B4-BE49-F238E27FC236}">
              <a16:creationId xmlns:a16="http://schemas.microsoft.com/office/drawing/2014/main" id="{DE4B73FD-3841-45A9-95E1-754F2602179C}"/>
            </a:ext>
          </a:extLst>
        </xdr:cNvPr>
        <xdr:cNvSpPr/>
      </xdr:nvSpPr>
      <xdr:spPr>
        <a:xfrm>
          <a:off x="152400" y="3891642"/>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207158</xdr:colOff>
      <xdr:row>15</xdr:row>
      <xdr:rowOff>26602</xdr:rowOff>
    </xdr:from>
    <xdr:to>
      <xdr:col>19</xdr:col>
      <xdr:colOff>760063</xdr:colOff>
      <xdr:row>46</xdr:row>
      <xdr:rowOff>148092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522061</xdr:colOff>
      <xdr:row>0</xdr:row>
      <xdr:rowOff>65315</xdr:rowOff>
    </xdr:from>
    <xdr:to>
      <xdr:col>20</xdr:col>
      <xdr:colOff>471034</xdr:colOff>
      <xdr:row>14</xdr:row>
      <xdr:rowOff>35152</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687842</xdr:colOff>
      <xdr:row>0</xdr:row>
      <xdr:rowOff>117249</xdr:rowOff>
    </xdr:from>
    <xdr:to>
      <xdr:col>28</xdr:col>
      <xdr:colOff>639536</xdr:colOff>
      <xdr:row>14</xdr:row>
      <xdr:rowOff>88900</xdr:rowOff>
    </xdr:to>
    <xdr:graphicFrame macro="">
      <xdr:nvGraphicFramePr>
        <xdr:cNvPr id="2" name="Chart 1">
          <a:extLst>
            <a:ext uri="{FF2B5EF4-FFF2-40B4-BE49-F238E27FC236}">
              <a16:creationId xmlns:a16="http://schemas.microsoft.com/office/drawing/2014/main" id="{74D7BCC1-A108-45C0-A460-356C4F698A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HENW\Box\LWRS\FY24\2_Gulf%20Coast%20TEA%20(Knighton)\Dan_TEA_model\WC_500MW_SOEC%20HFTO%20complete%20rev_02f%20(IRA%20PTC%20-%202022%20indices).xlsm" TargetMode="External"/><Relationship Id="rId1" Type="http://schemas.openxmlformats.org/officeDocument/2006/relationships/externalLinkPath" Target="/Users/CHENW/Box/LWRS/FY24/2_Gulf%20Coast%20TEA%20(Knighton)/Dan_TEA_model/WC_500MW_SOEC%20HFTO%20complete%20rev_02f%20(IRA%20PTC%20-%202022%20indices).xlsm" TargetMode="External"/></Relationships>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 dT="2024-09-25T18:58:41.31" personId="{1A121D12-39C0-4E05-99C3-B0D371F776EC}" id="{66507657-5843-45D7-811C-01E6748D171B}">
    <text>The maximum allowable plant life would be 40 years.</text>
  </threadedComment>
  <threadedComment ref="V6" dT="2024-02-02T20:13:18.08" personId="{1A121D12-39C0-4E05-99C3-B0D371F776EC}" id="{B22AB5B7-0594-43A8-9B72-75810B673D94}">
    <text>Select "HYBRID" mode if you are looking at electricity and H2 production together.</text>
  </threadedComment>
  <threadedComment ref="AD10"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2" dT="2024-05-21T15:51:09.00" personId="{1A121D12-39C0-4E05-99C3-B0D371F776EC}" id="{B659666B-D890-4488-B1F7-88DDD8360DD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3.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www.engineeringtoolbox.com/water-density-specific-weight-d_595.html" TargetMode="External"/><Relationship Id="rId7" Type="http://schemas.openxmlformats.org/officeDocument/2006/relationships/hyperlink" Target="https://www.nrc.gov/info-finder/reactors/ano1.html" TargetMode="External"/><Relationship Id="rId12" Type="http://schemas.openxmlformats.org/officeDocument/2006/relationships/comments" Target="../comments3.bin"/><Relationship Id="rId2" Type="http://schemas.openxmlformats.org/officeDocument/2006/relationships/hyperlink" Target="https://www.engineeringtoolbox.com/water-density-specific-weight-d_595.html" TargetMode="External"/><Relationship Id="rId1" Type="http://schemas.microsoft.com/office/2006/relationships/xlBinaryIndex" Target="binaryIndex4.bin"/><Relationship Id="rId6" Type="http://schemas.openxmlformats.org/officeDocument/2006/relationships/hyperlink" Target="https://www.investopedia.com/terms/c/costofdebt.asp" TargetMode="External"/><Relationship Id="rId11" Type="http://schemas.openxmlformats.org/officeDocument/2006/relationships/table" Target="../tables/table2.bin"/><Relationship Id="rId5" Type="http://schemas.openxmlformats.org/officeDocument/2006/relationships/hyperlink" Target="https://www.investopedia.com/terms/c/costofdebt.asp" TargetMode="External"/><Relationship Id="rId10" Type="http://schemas.openxmlformats.org/officeDocument/2006/relationships/vmlDrawing" Target="../drawings/vmlDrawing3.vml"/><Relationship Id="rId4" Type="http://schemas.openxmlformats.org/officeDocument/2006/relationships/hyperlink" Target="https://www.investopedia.com/terms/w/wacc.asp" TargetMode="External"/><Relationship Id="rId9"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microsoft.com/office/2006/relationships/xlBinaryIndex" Target="binaryIndex5.bin"/><Relationship Id="rId4" Type="http://schemas.openxmlformats.org/officeDocument/2006/relationships/comments" Target="../comments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7.bin"/><Relationship Id="rId6" Type="http://schemas.microsoft.com/office/2017/10/relationships/threadedComment" Target="../threadedComments/threadedComment2.xml"/><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comments" Target="../comments6.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microsoft.com/office/2017/10/relationships/threadedComment" Target="../threadedComments/threadedComment3.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Tool Information</vt:lpstr>
      <vt:lpstr>Dashboard</vt:lpstr>
      <vt:lpstr>Input (Default)</vt:lpstr>
      <vt:lpstr>Inputs (Add)</vt:lpstr>
      <vt:lpstr>Elec_NG_Price</vt:lpstr>
      <vt:lpstr>LCOH</vt:lpstr>
      <vt:lpstr>NPV</vt:lpstr>
      <vt:lpstr>Proforma</vt:lpstr>
      <vt:lpstr>Replacement</vt:lpstr>
      <vt:lpstr>Depreciation</vt:lpstr>
      <vt:lpstr>Debt-Principal Costs</vt:lpstr>
      <vt:lpstr>Sensitivity_Tornado</vt:lpstr>
      <vt:lpstr>Correlations</vt:lpstr>
      <vt:lpstr>CEPCI_2020</vt:lpstr>
      <vt:lpstr>CEPCI_2022</vt:lpstr>
      <vt:lpstr>direct_cap</vt:lpstr>
      <vt:lpstr>ele_usage</vt:lpstr>
      <vt:lpstr>electricity_price</vt:lpstr>
      <vt:lpstr>H2_market_price</vt:lpstr>
      <vt:lpstr>LCOE</vt:lpstr>
      <vt:lpstr>length_construction_period</vt:lpstr>
      <vt:lpstr>MACRS_Table</vt:lpstr>
      <vt:lpstr>mode_electrolyzer</vt:lpstr>
      <vt:lpstr>mode_gen</vt:lpstr>
      <vt:lpstr>mode_tax</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2025-03-17T18:58:35Z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