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externalLinks/externalLink1.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comments1.bin" ContentType="application/vnd.ms-excel.comments"/>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tables/table1.bin" ContentType="application/vnd.ms-excel.table"/>
  <Override PartName="/xl/comments2.bin" ContentType="application/vnd.ms-excel.comments"/>
  <Override PartName="/xl/printerSettings/printerSettings3.bin" ContentType="application/vnd.openxmlformats-officedocument.spreadsheetml.printerSettings"/>
  <Override PartName="/xl/drawings/drawing3.xml" ContentType="application/vnd.openxmlformats-officedocument.drawing+xml"/>
  <Override PartName="/xl/tables/table2.bin" ContentType="application/vnd.ms-excel.table"/>
  <Override PartName="/xl/comments3.bin" ContentType="application/vnd.ms-excel.comments"/>
  <Override PartName="/xl/drawings/drawing4.xml" ContentType="application/vnd.openxmlformats-officedocument.drawing+xml"/>
  <Override PartName="/xl/comments4.bin" ContentType="application/vnd.ms-excel.comments"/>
  <Override PartName="/xl/printerSettings/printerSettings4.bin" ContentType="application/vnd.openxmlformats-officedocument.spreadsheetml.printerSettings"/>
  <Override PartName="/xl/drawings/drawing5.xml" ContentType="application/vnd.openxmlformats-officedocument.drawing+xml"/>
  <Override PartName="/xl/printerSettings/printerSettings5.bin" ContentType="application/vnd.openxmlformats-officedocument.spreadsheetml.printerSettings"/>
  <Override PartName="/xl/drawings/drawing6.xml" ContentType="application/vnd.openxmlformats-officedocument.drawing+xml"/>
  <Override PartName="/xl/comments5.bin" ContentType="application/vnd.ms-excel.comments"/>
  <Override PartName="/xl/threadedComments/threadedComment2.xml" ContentType="application/vnd.ms-excel.threadedcomments+xml"/>
  <Override PartName="/xl/printerSettings/printerSettings6.bin" ContentType="application/vnd.openxmlformats-officedocument.spreadsheetml.printerSettings"/>
  <Override PartName="/xl/comments6.bin" ContentType="application/vnd.ms-excel.comments"/>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drawings/drawing8.xml" ContentType="application/vnd.openxmlformats-officedocument.drawing+xml"/>
  <Override PartName="/xl/comments7.bin" ContentType="application/vnd.ms-excel.comments"/>
  <Override PartName="/xl/threadedComments/threadedComment3.xml" ContentType="application/vnd.ms-excel.threadedcomments+xml"/>
  <Override PartName="/xl/drawings/drawing9.xml" ContentType="application/vnd.openxmlformats-officedocument.drawing+xml"/>
  <Override PartName="/xl/printerSettings/printerSettings9.bin" ContentType="application/vnd.openxmlformats-officedocument.spreadsheetml.printerSettings"/>
  <Override PartName="/xl/drawings/drawing10.xml" ContentType="application/vnd.openxmlformats-officedocument.drawing+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customXml" Target="../customXml/item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bin"/><Relationship Id="rId19" Type="http://schemas.microsoft.com/office/2017/10/relationships/person" Target="persons/person.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1.bin"/><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30077258399585"/>
          <c:y val="0.10472846169236887"/>
          <c:w val="0.75789133214004889"/>
          <c:h val="0.72922414497834154"/>
        </c:manualLayout>
      </c:layout>
      <c:scatterChart>
        <c:scatterStyle val="lineMarker"/>
        <c:varyColors val="0"/>
        <c:ser>
          <c:idx val="0"/>
          <c:order val="0"/>
          <c:tx>
            <c:strRef>
              <c:f>Dashboard!$H$74</c:f>
              <c:strCache>
                <c:ptCount val="1"/>
                <c:pt idx="0">
                  <c:v>No Tax Credits</c:v>
                </c:pt>
              </c:strCache>
            </c:strRef>
          </c:tx>
          <c:spPr>
            <a:ln w="25400" cap="rnd">
              <a:solidFill>
                <a:schemeClr val="accent1"/>
              </a:solidFill>
              <a:round/>
            </a:ln>
            <a:effectLst/>
          </c:spPr>
          <c:marker>
            <c:symbol val="none"/>
          </c:marker>
          <c:xVal>
            <c:numRef>
              <c:f>Dashboard!$E$77:$E$82</c:f>
              <c:numCache>
                <c:formatCode>"$"#,##0</c:formatCode>
                <c:ptCount val="6"/>
                <c:pt idx="0">
                  <c:v>10</c:v>
                </c:pt>
                <c:pt idx="1">
                  <c:v>26</c:v>
                </c:pt>
                <c:pt idx="2">
                  <c:v>42</c:v>
                </c:pt>
                <c:pt idx="3">
                  <c:v>58</c:v>
                </c:pt>
                <c:pt idx="4">
                  <c:v>74</c:v>
                </c:pt>
                <c:pt idx="5">
                  <c:v>90</c:v>
                </c:pt>
              </c:numCache>
            </c:numRef>
          </c:xVal>
          <c:yVal>
            <c:numRef>
              <c:f>Dashboard!$H$77:$H$82</c:f>
              <c:numCache>
                <c:formatCode>"$"#,###,,\ "M"</c:formatCode>
                <c:ptCount val="6"/>
                <c:pt idx="0">
                  <c:v>762911812.47059715</c:v>
                </c:pt>
                <c:pt idx="1">
                  <c:v>201947244.47751111</c:v>
                </c:pt>
                <c:pt idx="2">
                  <c:v>-266606264.44266599</c:v>
                </c:pt>
                <c:pt idx="3">
                  <c:v>-683178552.63433182</c:v>
                </c:pt>
                <c:pt idx="4">
                  <c:v>-1099750840.8259978</c:v>
                </c:pt>
                <c:pt idx="5">
                  <c:v>-1516323129.0176632</c:v>
                </c:pt>
              </c:numCache>
            </c:numRef>
          </c:yVal>
          <c:smooth val="0"/>
          <c:extLst>
            <c:ext xmlns:c16="http://schemas.microsoft.com/office/drawing/2014/chart" uri="{C3380CC4-5D6E-409C-BE32-E72D297353CC}">
              <c16:uniqueId val="{00000001-BBEF-420F-A131-EA071B64CCA9}"/>
            </c:ext>
          </c:extLst>
        </c:ser>
        <c:ser>
          <c:idx val="1"/>
          <c:order val="1"/>
          <c:tx>
            <c:strRef>
              <c:f>Dashboard!$K$74</c:f>
              <c:strCache>
                <c:ptCount val="1"/>
                <c:pt idx="0">
                  <c:v>With Tax Credits</c:v>
                </c:pt>
              </c:strCache>
            </c:strRef>
          </c:tx>
          <c:spPr>
            <a:ln w="25400" cap="rnd">
              <a:solidFill>
                <a:schemeClr val="accent2"/>
              </a:solidFill>
              <a:prstDash val="dash"/>
              <a:round/>
            </a:ln>
            <a:effectLst/>
          </c:spPr>
          <c:marker>
            <c:symbol val="none"/>
          </c:marker>
          <c:xVal>
            <c:numRef>
              <c:f>Dashboard!$E$77:$E$82</c:f>
              <c:numCache>
                <c:formatCode>"$"#,##0</c:formatCode>
                <c:ptCount val="6"/>
                <c:pt idx="0">
                  <c:v>10</c:v>
                </c:pt>
                <c:pt idx="1">
                  <c:v>26</c:v>
                </c:pt>
                <c:pt idx="2">
                  <c:v>42</c:v>
                </c:pt>
                <c:pt idx="3">
                  <c:v>58</c:v>
                </c:pt>
                <c:pt idx="4">
                  <c:v>74</c:v>
                </c:pt>
                <c:pt idx="5">
                  <c:v>90</c:v>
                </c:pt>
              </c:numCache>
            </c:numRef>
          </c:xVal>
          <c:yVal>
            <c:numRef>
              <c:f>Dashboard!$K$77:$K$82</c:f>
              <c:numCache>
                <c:formatCode>"$"#,###,,\ "M"</c:formatCode>
                <c:ptCount val="6"/>
                <c:pt idx="0">
                  <c:v>1111956279.3457351</c:v>
                </c:pt>
                <c:pt idx="1">
                  <c:v>566233835.94327509</c:v>
                </c:pt>
                <c:pt idx="2">
                  <c:v>341554320.47311556</c:v>
                </c:pt>
                <c:pt idx="3">
                  <c:v>-35965525.409366131</c:v>
                </c:pt>
                <c:pt idx="4">
                  <c:v>-427780365.04985476</c:v>
                </c:pt>
                <c:pt idx="5">
                  <c:v>-823463556.02646542</c:v>
                </c:pt>
              </c:numCache>
            </c:numRef>
          </c:yVal>
          <c:smooth val="0"/>
          <c:extLst>
            <c:ext xmlns:c16="http://schemas.microsoft.com/office/drawing/2014/chart" uri="{C3380CC4-5D6E-409C-BE32-E72D297353CC}">
              <c16:uniqueId val="{00000001-0058-4268-8299-28671B8DD68A}"/>
            </c:ext>
          </c:extLst>
        </c:ser>
        <c:dLbls>
          <c:showLegendKey val="0"/>
          <c:showVal val="0"/>
          <c:showCatName val="0"/>
          <c:showSerName val="0"/>
          <c:showPercent val="0"/>
          <c:showBubbleSize val="0"/>
        </c:dLbls>
        <c:axId val="1366289759"/>
        <c:axId val="424599471"/>
        <c:extLst/>
      </c:scatterChart>
      <c:valAx>
        <c:axId val="1366289759"/>
        <c:scaling>
          <c:orientation val="minMax"/>
        </c:scaling>
        <c:delete val="0"/>
        <c:axPos val="b"/>
        <c:majorGridlines>
          <c:spPr>
            <a:ln w="9525" cap="flat" cmpd="sng" algn="ctr">
              <a:solidFill>
                <a:schemeClr val="tx1">
                  <a:lumMod val="15000"/>
                  <a:lumOff val="85000"/>
                </a:schemeClr>
              </a:solidFill>
              <a:round/>
            </a:ln>
            <a:effectLst/>
          </c:spPr>
        </c:majorGridlines>
        <c:title>
          <c:tx>
            <c:strRef>
              <c:f>Dashboard!$D$74:$F$74</c:f>
              <c:strCache>
                <c:ptCount val="3"/>
                <c:pt idx="0">
                  <c:v>Electricity Price</c:v>
                </c:pt>
              </c:strCache>
            </c:strRef>
          </c:tx>
          <c:layout>
            <c:manualLayout>
              <c:xMode val="edge"/>
              <c:yMode val="edge"/>
              <c:x val="0.45988170707708909"/>
              <c:y val="0.89138333736555198"/>
            </c:manualLayout>
          </c:layout>
          <c:overlay val="0"/>
          <c:spPr>
            <a:noFill/>
            <a:ln>
              <a:noFill/>
            </a:ln>
            <a:effectLst/>
          </c:spPr>
          <c:txPr>
            <a:bodyPr rot="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endParaRPr lang="en-US"/>
            </a:p>
          </c:txPr>
        </c:title>
        <c:numFmt formatCode="&quot;$&quot;#,##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424599471"/>
        <c:crosses val="autoZero"/>
        <c:crossBetween val="midCat"/>
      </c:valAx>
      <c:valAx>
        <c:axId val="424599471"/>
        <c:scaling>
          <c:orientation val="minMax"/>
        </c:scaling>
        <c:delete val="0"/>
        <c:axPos val="l"/>
        <c:majorGridlines>
          <c:spPr>
            <a:ln w="9525" cap="flat" cmpd="sng" algn="ctr">
              <a:solidFill>
                <a:schemeClr val="tx1">
                  <a:lumMod val="15000"/>
                  <a:lumOff val="85000"/>
                </a:schemeClr>
              </a:solidFill>
              <a:round/>
            </a:ln>
            <a:effectLst/>
          </c:spPr>
        </c:majorGridlines>
        <c:title>
          <c:tx>
            <c:strRef>
              <c:f>Dashboard!$H$76:$L$76</c:f>
              <c:strCache>
                <c:ptCount val="5"/>
                <c:pt idx="0">
                  <c:v>ΔNPV</c:v>
                </c:pt>
              </c:strCache>
            </c:strRef>
          </c:tx>
          <c:overlay val="0"/>
          <c:spPr>
            <a:noFill/>
            <a:ln>
              <a:noFill/>
            </a:ln>
            <a:effectLst/>
          </c:spPr>
          <c:txPr>
            <a:bodyPr rot="-540000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endParaRPr lang="en-US"/>
            </a:p>
          </c:txPr>
        </c:title>
        <c:numFmt formatCode="&quot;$&quot;#,###,,\ &quot;M&quot;" sourceLinked="1"/>
        <c:majorTickMark val="out"/>
        <c:minorTickMark val="none"/>
        <c:tickLblPos val="nextTo"/>
        <c:spPr>
          <a:noFill/>
          <a:ln w="25400" cap="flat" cmpd="sng" algn="ctr">
            <a:solidFill>
              <a:schemeClr val="tx1"/>
            </a:solidFill>
            <a:prstDash val="lgDash"/>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366289759"/>
        <c:crosses val="autoZero"/>
        <c:crossBetween val="midCat"/>
      </c:valAx>
      <c:spPr>
        <a:noFill/>
        <a:ln>
          <a:noFill/>
        </a:ln>
        <a:effectLst/>
      </c:spPr>
    </c:plotArea>
    <c:legend>
      <c:legendPos val="t"/>
      <c:layout>
        <c:manualLayout>
          <c:xMode val="edge"/>
          <c:yMode val="edge"/>
          <c:x val="0.20273889223746774"/>
          <c:y val="2.7215842272673946E-2"/>
          <c:w val="0.46460513255930463"/>
          <c:h val="6.9272007434355853E-2"/>
        </c:manualLayout>
      </c:layout>
      <c:overlay val="0"/>
      <c:spPr>
        <a:noFill/>
        <a:ln>
          <a:noFill/>
        </a:ln>
        <a:effectLst/>
      </c:spPr>
      <c:txPr>
        <a:bodyPr rot="0" spcFirstLastPara="1" vertOverflow="ellipsis" vert="horz" wrap="square" anchor="ctr" anchorCtr="1"/>
        <a:lstStyle/>
        <a:p>
          <a:pPr>
            <a:defRPr sz="1300" b="0" i="0" u="none" strike="noStrike" kern="1200" baseline="0">
              <a:solidFill>
                <a:sysClr val="windowText" lastClr="000000"/>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Sensitivity_Tornado!$B$15</c:f>
          <c:strCache>
            <c:ptCount val="1"/>
            <c:pt idx="0">
              <c:v>HTSE: Parameter Sensitivity of LCOH with PTC ($/kg)</c:v>
            </c:pt>
          </c:strCache>
        </c:strRef>
      </c:tx>
      <c:layout>
        <c:manualLayout>
          <c:xMode val="edge"/>
          <c:yMode val="edge"/>
          <c:x val="0.25520320594620882"/>
          <c:y val="1.3466180015000287E-2"/>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44694348925127375"/>
          <c:y val="0.20894610955888579"/>
          <c:w val="0.52539104486939137"/>
          <c:h val="0.71040872915079167"/>
        </c:manualLayout>
      </c:layout>
      <c:barChart>
        <c:barDir val="bar"/>
        <c:grouping val="clustered"/>
        <c:varyColors val="0"/>
        <c:ser>
          <c:idx val="0"/>
          <c:order val="0"/>
          <c:tx>
            <c:v>lower bound</c:v>
          </c:tx>
          <c:spPr>
            <a:solidFill>
              <a:schemeClr val="accent1"/>
            </a:solidFill>
            <a:ln>
              <a:noFill/>
            </a:ln>
            <a:effectLst/>
          </c:spPr>
          <c:invertIfNegative val="0"/>
          <c:dLbls>
            <c:dLbl>
              <c:idx val="0"/>
              <c:layout>
                <c:manualLayout>
                  <c:x val="-2.3741568594248301E-2"/>
                  <c:y val="1.299055347098006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88-4115-9691-F6BDEFBE89DE}"/>
                </c:ext>
              </c:extLst>
            </c:dLbl>
            <c:dLbl>
              <c:idx val="1"/>
              <c:layout>
                <c:manualLayout>
                  <c:x val="4.3984421302182511E-4"/>
                  <c:y val="4.763986713997567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7F-4219-AB53-04503F593E4B}"/>
                </c:ext>
              </c:extLst>
            </c:dLbl>
            <c:dLbl>
              <c:idx val="2"/>
              <c:layout>
                <c:manualLayout>
                  <c:x val="8.1987130640927292E-3"/>
                  <c:y val="2.16754580055253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A7F-4219-AB53-04503F593E4B}"/>
                </c:ext>
              </c:extLst>
            </c:dLbl>
            <c:dLbl>
              <c:idx val="3"/>
              <c:layout>
                <c:manualLayout>
                  <c:x val="6.8087700376761942E-3"/>
                  <c:y val="1.254704197638168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C5-4FDF-A2BA-41C76548ECD9}"/>
                </c:ext>
              </c:extLst>
            </c:dLbl>
            <c:dLbl>
              <c:idx val="4"/>
              <c:layout>
                <c:manualLayout>
                  <c:x val="7.5984251968503934E-3"/>
                  <c:y val="1.298237495301619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19B-4325-91A4-479B626DAEB2}"/>
                </c:ext>
              </c:extLst>
            </c:dLbl>
            <c:dLbl>
              <c:idx val="5"/>
              <c:layout>
                <c:manualLayout>
                  <c:x val="1.0752829283436344E-2"/>
                  <c:y val="4.3281398608358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E13-425C-A6F8-353CABC4351A}"/>
                </c:ext>
              </c:extLst>
            </c:dLbl>
            <c:dLbl>
              <c:idx val="6"/>
              <c:layout>
                <c:manualLayout>
                  <c:x val="1.3002342689934162E-2"/>
                  <c:y val="-3.831404559113775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E13-425C-A6F8-353CABC4351A}"/>
                </c:ext>
              </c:extLst>
            </c:dLbl>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Sensitivity_Tornado!$D$17:$D$24</c:f>
              <c:strCache>
                <c:ptCount val="7"/>
                <c:pt idx="0">
                  <c:v>Feedstock: Electricity Costs, $/MWh [20, 32, 60]</c:v>
                </c:pt>
                <c:pt idx="1">
                  <c:v>Plant Capacity (HTSE), MW-dc [100, 500, 500]</c:v>
                </c:pt>
                <c:pt idx="2">
                  <c:v>Direct Capital Cost (Installed), $ MM [314, 441, 900]</c:v>
                </c:pt>
                <c:pt idx="3">
                  <c:v>Stack Service Lifetime, yrs [7, 5, 2]</c:v>
                </c:pt>
                <c:pt idx="4">
                  <c:v>NPP Capacity Factor, % [95, 90, 80]</c:v>
                </c:pt>
                <c:pt idx="5">
                  <c:v>Stack Manufacturing Cost, $/kW-dc [55, 150, 156]</c:v>
                </c:pt>
                <c:pt idx="6">
                  <c:v>Stack degradation rate for the 2nd year of stack, %/1000 hr [0.3, 0.25, 0.2]</c:v>
                </c:pt>
              </c:strCache>
            </c:strRef>
          </c:cat>
          <c:val>
            <c:numRef>
              <c:f>Sensitivity_Tornado!$R$17:$R$23</c:f>
              <c:numCache>
                <c:formatCode>"$"#,##0.00</c:formatCode>
                <c:ptCount val="7"/>
                <c:pt idx="0">
                  <c:v>1.2184436803630292</c:v>
                </c:pt>
                <c:pt idx="1">
                  <c:v>0.59663648307014783</c:v>
                </c:pt>
                <c:pt idx="2">
                  <c:v>1.3953113409970828</c:v>
                </c:pt>
                <c:pt idx="3">
                  <c:v>1.5675357418219402</c:v>
                </c:pt>
                <c:pt idx="4">
                  <c:v>1.5489740607871241</c:v>
                </c:pt>
                <c:pt idx="5">
                  <c:v>1.5238083740165675</c:v>
                </c:pt>
                <c:pt idx="6">
                  <c:v>1.5791673179330301</c:v>
                </c:pt>
              </c:numCache>
            </c:numRef>
          </c:val>
          <c:extLst>
            <c:ext xmlns:c16="http://schemas.microsoft.com/office/drawing/2014/chart" uri="{C3380CC4-5D6E-409C-BE32-E72D297353CC}">
              <c16:uniqueId val="{00000000-3CD0-43EB-BA49-C9E68CF556B0}"/>
            </c:ext>
          </c:extLst>
        </c:ser>
        <c:ser>
          <c:idx val="2"/>
          <c:order val="1"/>
          <c:tx>
            <c:v>base value</c:v>
          </c:tx>
          <c:spPr>
            <a:solidFill>
              <a:schemeClr val="accent3"/>
            </a:solidFill>
            <a:ln>
              <a:noFill/>
            </a:ln>
            <a:effectLst/>
          </c:spPr>
          <c:invertIfNegative val="0"/>
          <c:dLbls>
            <c:dLbl>
              <c:idx val="0"/>
              <c:layout>
                <c:manualLayout>
                  <c:x val="-2.6121027427078797E-2"/>
                  <c:y val="6.9164649648032969E-2"/>
                </c:manualLayout>
              </c:layout>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DC6-42B1-8A4F-6934F360D7B4}"/>
                </c:ext>
              </c:extLst>
            </c:dLbl>
            <c:dLbl>
              <c:idx val="1"/>
              <c:delete val="1"/>
              <c:extLst>
                <c:ext xmlns:c15="http://schemas.microsoft.com/office/drawing/2012/chart" uri="{CE6537A1-D6FC-4f65-9D91-7224C49458BB}"/>
                <c:ext xmlns:c16="http://schemas.microsoft.com/office/drawing/2014/chart" uri="{C3380CC4-5D6E-409C-BE32-E72D297353CC}">
                  <c16:uniqueId val="{00000000-4DC6-42B1-8A4F-6934F360D7B4}"/>
                </c:ext>
              </c:extLst>
            </c:dLbl>
            <c:dLbl>
              <c:idx val="2"/>
              <c:delete val="1"/>
              <c:extLst>
                <c:ext xmlns:c15="http://schemas.microsoft.com/office/drawing/2012/chart" uri="{CE6537A1-D6FC-4f65-9D91-7224C49458BB}"/>
                <c:ext xmlns:c16="http://schemas.microsoft.com/office/drawing/2014/chart" uri="{C3380CC4-5D6E-409C-BE32-E72D297353CC}">
                  <c16:uniqueId val="{00000001-4DC6-42B1-8A4F-6934F360D7B4}"/>
                </c:ext>
              </c:extLst>
            </c:dLbl>
            <c:dLbl>
              <c:idx val="3"/>
              <c:delete val="1"/>
              <c:extLst>
                <c:ext xmlns:c15="http://schemas.microsoft.com/office/drawing/2012/chart" uri="{CE6537A1-D6FC-4f65-9D91-7224C49458BB}"/>
                <c:ext xmlns:c16="http://schemas.microsoft.com/office/drawing/2014/chart" uri="{C3380CC4-5D6E-409C-BE32-E72D297353CC}">
                  <c16:uniqueId val="{00000002-4DC6-42B1-8A4F-6934F360D7B4}"/>
                </c:ext>
              </c:extLst>
            </c:dLbl>
            <c:dLbl>
              <c:idx val="4"/>
              <c:delete val="1"/>
              <c:extLst>
                <c:ext xmlns:c15="http://schemas.microsoft.com/office/drawing/2012/chart" uri="{CE6537A1-D6FC-4f65-9D91-7224C49458BB}"/>
                <c:ext xmlns:c16="http://schemas.microsoft.com/office/drawing/2014/chart" uri="{C3380CC4-5D6E-409C-BE32-E72D297353CC}">
                  <c16:uniqueId val="{00000003-4DC6-42B1-8A4F-6934F360D7B4}"/>
                </c:ext>
              </c:extLst>
            </c:dLbl>
            <c:dLbl>
              <c:idx val="5"/>
              <c:delete val="1"/>
              <c:extLst>
                <c:ext xmlns:c15="http://schemas.microsoft.com/office/drawing/2012/chart" uri="{CE6537A1-D6FC-4f65-9D91-7224C49458BB}"/>
                <c:ext xmlns:c16="http://schemas.microsoft.com/office/drawing/2014/chart" uri="{C3380CC4-5D6E-409C-BE32-E72D297353CC}">
                  <c16:uniqueId val="{00000004-4DC6-42B1-8A4F-6934F360D7B4}"/>
                </c:ext>
              </c:extLst>
            </c:dLbl>
            <c:dLbl>
              <c:idx val="6"/>
              <c:delete val="1"/>
              <c:extLst>
                <c:ext xmlns:c15="http://schemas.microsoft.com/office/drawing/2012/chart" uri="{CE6537A1-D6FC-4f65-9D91-7224C49458BB}"/>
                <c:ext xmlns:c16="http://schemas.microsoft.com/office/drawing/2014/chart" uri="{C3380CC4-5D6E-409C-BE32-E72D297353CC}">
                  <c16:uniqueId val="{00000001-4E13-425C-A6F8-353CABC4351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Sensitivity_Tornado!$D$17:$D$24</c:f>
              <c:strCache>
                <c:ptCount val="7"/>
                <c:pt idx="0">
                  <c:v>Feedstock: Electricity Costs, $/MWh [20, 32, 60]</c:v>
                </c:pt>
                <c:pt idx="1">
                  <c:v>Plant Capacity (HTSE), MW-dc [100, 500, 500]</c:v>
                </c:pt>
                <c:pt idx="2">
                  <c:v>Direct Capital Cost (Installed), $ MM [314, 441, 900]</c:v>
                </c:pt>
                <c:pt idx="3">
                  <c:v>Stack Service Lifetime, yrs [7, 5, 2]</c:v>
                </c:pt>
                <c:pt idx="4">
                  <c:v>NPP Capacity Factor, % [95, 90, 80]</c:v>
                </c:pt>
                <c:pt idx="5">
                  <c:v>Stack Manufacturing Cost, $/kW-dc [55, 150, 156]</c:v>
                </c:pt>
                <c:pt idx="6">
                  <c:v>Stack degradation rate for the 2nd year of stack, %/1000 hr [0.3, 0.25, 0.2]</c:v>
                </c:pt>
              </c:strCache>
            </c:strRef>
          </c:cat>
          <c:val>
            <c:numRef>
              <c:f>Sensitivity_Tornado!$S$17:$S$23</c:f>
              <c:numCache>
                <c:formatCode>"$"#,##0.00</c:formatCode>
                <c:ptCount val="7"/>
                <c:pt idx="0">
                  <c:v>1.5879390481319049</c:v>
                </c:pt>
                <c:pt idx="1">
                  <c:v>1.5879390481319049</c:v>
                </c:pt>
                <c:pt idx="2">
                  <c:v>1.5879390481319049</c:v>
                </c:pt>
                <c:pt idx="3">
                  <c:v>1.5879390481319049</c:v>
                </c:pt>
                <c:pt idx="4">
                  <c:v>1.5879390481319049</c:v>
                </c:pt>
                <c:pt idx="5">
                  <c:v>1.5879390481319049</c:v>
                </c:pt>
                <c:pt idx="6">
                  <c:v>1.5879390481319049</c:v>
                </c:pt>
              </c:numCache>
            </c:numRef>
          </c:val>
          <c:extLst>
            <c:ext xmlns:c16="http://schemas.microsoft.com/office/drawing/2014/chart" uri="{C3380CC4-5D6E-409C-BE32-E72D297353CC}">
              <c16:uniqueId val="{00000002-3CD0-43EB-BA49-C9E68CF556B0}"/>
            </c:ext>
          </c:extLst>
        </c:ser>
        <c:ser>
          <c:idx val="1"/>
          <c:order val="2"/>
          <c:tx>
            <c:v>upper bound</c:v>
          </c:tx>
          <c:spPr>
            <a:solidFill>
              <a:schemeClr val="accent2"/>
            </a:solidFill>
            <a:ln>
              <a:noFill/>
            </a:ln>
            <a:effectLst/>
          </c:spPr>
          <c:invertIfNegative val="0"/>
          <c:dLbls>
            <c:dLbl>
              <c:idx val="0"/>
              <c:layout>
                <c:manualLayout>
                  <c:x val="5.2763487095060877E-3"/>
                  <c:y val="-4.33632566357220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7DB-4533-86EC-F59AE60C6F69}"/>
                </c:ext>
              </c:extLst>
            </c:dLbl>
            <c:dLbl>
              <c:idx val="1"/>
              <c:layout>
                <c:manualLayout>
                  <c:x val="7.9365079365079361E-3"/>
                  <c:y val="1.0583354500042334E-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7DB-4533-86EC-F59AE60C6F69}"/>
                </c:ext>
              </c:extLst>
            </c:dLbl>
            <c:dLbl>
              <c:idx val="2"/>
              <c:layout>
                <c:manualLayout>
                  <c:x val="5.3600133542170561E-3"/>
                  <c:y val="-4.378479171544841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7DB-4533-86EC-F59AE60C6F69}"/>
                </c:ext>
              </c:extLst>
            </c:dLbl>
            <c:dLbl>
              <c:idx val="3"/>
              <c:layout>
                <c:manualLayout>
                  <c:x val="1.8042399639150684E-3"/>
                  <c:y val="4.342245367798745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389-4BFA-9A66-0FB7657C5EB3}"/>
                </c:ext>
              </c:extLst>
            </c:dLbl>
            <c:dLbl>
              <c:idx val="4"/>
              <c:layout>
                <c:manualLayout>
                  <c:x val="5.4889400749917813E-3"/>
                  <c:y val="8.704015846260954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AFE-44D6-A590-ABA1540ADE49}"/>
                </c:ext>
              </c:extLst>
            </c:dLbl>
            <c:dLbl>
              <c:idx val="5"/>
              <c:layout>
                <c:manualLayout>
                  <c:x val="1.1342674907571905E-2"/>
                  <c:y val="-8.641285772070838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616-4620-A184-60D4A16D2EAA}"/>
                </c:ext>
              </c:extLst>
            </c:dLbl>
            <c:dLbl>
              <c:idx val="6"/>
              <c:layout>
                <c:manualLayout>
                  <c:x val="1.7780527341452641E-2"/>
                  <c:y val="-9.120046255722586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E13-425C-A6F8-353CABC4351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Sensitivity_Tornado!$D$17:$D$24</c:f>
              <c:strCache>
                <c:ptCount val="7"/>
                <c:pt idx="0">
                  <c:v>Feedstock: Electricity Costs, $/MWh [20, 32, 60]</c:v>
                </c:pt>
                <c:pt idx="1">
                  <c:v>Plant Capacity (HTSE), MW-dc [100, 500, 500]</c:v>
                </c:pt>
                <c:pt idx="2">
                  <c:v>Direct Capital Cost (Installed), $ MM [314, 441, 900]</c:v>
                </c:pt>
                <c:pt idx="3">
                  <c:v>Stack Service Lifetime, yrs [7, 5, 2]</c:v>
                </c:pt>
                <c:pt idx="4">
                  <c:v>NPP Capacity Factor, % [95, 90, 80]</c:v>
                </c:pt>
                <c:pt idx="5">
                  <c:v>Stack Manufacturing Cost, $/kW-dc [55, 150, 156]</c:v>
                </c:pt>
                <c:pt idx="6">
                  <c:v>Stack degradation rate for the 2nd year of stack, %/1000 hr [0.3, 0.25, 0.2]</c:v>
                </c:pt>
              </c:strCache>
            </c:strRef>
          </c:cat>
          <c:val>
            <c:numRef>
              <c:f>Sensitivity_Tornado!$T$17:$T$23</c:f>
              <c:numCache>
                <c:formatCode>"$"#,##0.00</c:formatCode>
                <c:ptCount val="7"/>
                <c:pt idx="0">
                  <c:v>2.6277041752168309</c:v>
                </c:pt>
                <c:pt idx="1">
                  <c:v>1.5879390481319049</c:v>
                </c:pt>
                <c:pt idx="2">
                  <c:v>2.3171973789396931</c:v>
                </c:pt>
                <c:pt idx="3">
                  <c:v>1.7347788381796971</c:v>
                </c:pt>
                <c:pt idx="4">
                  <c:v>1.6805072302044093</c:v>
                </c:pt>
                <c:pt idx="5">
                  <c:v>1.5922177761867371</c:v>
                </c:pt>
                <c:pt idx="6">
                  <c:v>1.5966895064443061</c:v>
                </c:pt>
              </c:numCache>
            </c:numRef>
          </c:val>
          <c:extLst>
            <c:ext xmlns:c16="http://schemas.microsoft.com/office/drawing/2014/chart" uri="{C3380CC4-5D6E-409C-BE32-E72D297353CC}">
              <c16:uniqueId val="{00000001-3CD0-43EB-BA49-C9E68CF556B0}"/>
            </c:ext>
          </c:extLst>
        </c:ser>
        <c:dLbls>
          <c:showLegendKey val="0"/>
          <c:showVal val="0"/>
          <c:showCatName val="0"/>
          <c:showSerName val="0"/>
          <c:showPercent val="0"/>
          <c:showBubbleSize val="0"/>
        </c:dLbls>
        <c:gapWidth val="150"/>
        <c:overlap val="100"/>
        <c:axId val="1118140288"/>
        <c:axId val="1441999008"/>
      </c:barChart>
      <c:catAx>
        <c:axId val="1118140288"/>
        <c:scaling>
          <c:orientation val="maxMin"/>
        </c:scaling>
        <c:delete val="0"/>
        <c:axPos val="l"/>
        <c:numFmt formatCode="General"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41999008"/>
        <c:crossesAt val="1.5879000000000001"/>
        <c:auto val="1"/>
        <c:lblAlgn val="ctr"/>
        <c:lblOffset val="100"/>
        <c:noMultiLvlLbl val="0"/>
      </c:catAx>
      <c:valAx>
        <c:axId val="1441999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11814028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Sensitivity_Tornado!$B$26</c:f>
          <c:strCache>
            <c:ptCount val="1"/>
            <c:pt idx="0">
              <c:v>HTSE: Sensitivity Annalysis of NPV_H2 with PTC ($ Million)</c:v>
            </c:pt>
          </c:strCache>
        </c:strRef>
      </c:tx>
      <c:layout>
        <c:manualLayout>
          <c:xMode val="edge"/>
          <c:yMode val="edge"/>
          <c:x val="0.30402020328621093"/>
          <c:y val="1.2985079122958595E-2"/>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1906937558731083"/>
          <c:y val="0.23639905346642096"/>
          <c:w val="0.5215371516060493"/>
          <c:h val="0.7357226180156291"/>
        </c:manualLayout>
      </c:layout>
      <c:barChart>
        <c:barDir val="bar"/>
        <c:grouping val="clustered"/>
        <c:varyColors val="0"/>
        <c:ser>
          <c:idx val="0"/>
          <c:order val="0"/>
          <c:tx>
            <c:v>lower bound</c:v>
          </c:tx>
          <c:spPr>
            <a:solidFill>
              <a:schemeClr val="accent1"/>
            </a:solidFill>
            <a:ln>
              <a:noFill/>
            </a:ln>
            <a:effectLst/>
          </c:spPr>
          <c:invertIfNegative val="0"/>
          <c:dLbls>
            <c:dLbl>
              <c:idx val="5"/>
              <c:layout>
                <c:manualLayout>
                  <c:x val="-5.3675456429460007E-3"/>
                  <c:y val="-4.344037656080711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6F4-4B31-A181-89354AEE50E9}"/>
                </c:ext>
              </c:extLst>
            </c:dLbl>
            <c:dLbl>
              <c:idx val="6"/>
              <c:layout>
                <c:manualLayout>
                  <c:x val="-4.4378510657182346E-5"/>
                  <c:y val="4.345063968332109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ED1-49A6-9A20-C7B7EA3733DC}"/>
                </c:ext>
              </c:extLst>
            </c:dLbl>
            <c:numFmt formatCode="&quot;$&quot;#,##0" sourceLinked="0"/>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Feedstock: Electricity Costs, $/MWh [60, 32, 20]</c:v>
                </c:pt>
                <c:pt idx="1">
                  <c:v>Direct Capital Cost (Installed), $ MM [900, 441, 314]</c:v>
                </c:pt>
                <c:pt idx="2">
                  <c:v>Plant Capacity (HTSE), MW-dc [100, 500, 500]</c:v>
                </c:pt>
                <c:pt idx="3">
                  <c:v>NPP Capacity Factor, % [80, 90, 95]</c:v>
                </c:pt>
                <c:pt idx="4">
                  <c:v>Stack Service Lifetime, yrs [2, 5, 7]</c:v>
                </c:pt>
                <c:pt idx="5">
                  <c:v>Stack Manufacturing Cost, $/kW-dc [156, 150, 55]</c:v>
                </c:pt>
                <c:pt idx="6">
                  <c:v>Stack degradation rate for the 2nd year of stack, %/1000 hr [0.3, 0.25, 0.2]</c:v>
                </c:pt>
              </c:strCache>
            </c:strRef>
          </c:cat>
          <c:val>
            <c:numRef>
              <c:f>Sensitivity_Tornado!$R$28:$R$34</c:f>
              <c:numCache>
                <c:formatCode>"$"#,##0.00</c:formatCode>
                <c:ptCount val="7"/>
                <c:pt idx="0">
                  <c:v>-261486128.53028628</c:v>
                </c:pt>
                <c:pt idx="1">
                  <c:v>23511722.043029111</c:v>
                </c:pt>
                <c:pt idx="2">
                  <c:v>320544807.75079817</c:v>
                </c:pt>
                <c:pt idx="3">
                  <c:v>542591022.97768867</c:v>
                </c:pt>
                <c:pt idx="4">
                  <c:v>573735151.48829663</c:v>
                </c:pt>
                <c:pt idx="5">
                  <c:v>688932353.64065421</c:v>
                </c:pt>
                <c:pt idx="6">
                  <c:v>679743605.5284673</c:v>
                </c:pt>
              </c:numCache>
            </c:numRef>
          </c:val>
          <c:extLst>
            <c:ext xmlns:c16="http://schemas.microsoft.com/office/drawing/2014/chart" uri="{C3380CC4-5D6E-409C-BE32-E72D297353CC}">
              <c16:uniqueId val="{00000000-962F-4F14-AB32-80029DE309CC}"/>
            </c:ext>
          </c:extLst>
        </c:ser>
        <c:ser>
          <c:idx val="2"/>
          <c:order val="1"/>
          <c:tx>
            <c:v>base value</c:v>
          </c:tx>
          <c:spPr>
            <a:solidFill>
              <a:schemeClr val="accent3"/>
            </a:solidFill>
            <a:ln>
              <a:noFill/>
            </a:ln>
            <a:effectLst/>
          </c:spPr>
          <c:invertIfNegative val="0"/>
          <c:dLbls>
            <c:dLbl>
              <c:idx val="0"/>
              <c:layout>
                <c:manualLayout>
                  <c:x val="-4.0612110271791187E-2"/>
                  <c:y val="7.829792760279964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A6-46AA-B582-F8ACC2DB7A57}"/>
                </c:ext>
              </c:extLst>
            </c:dLbl>
            <c:dLbl>
              <c:idx val="1"/>
              <c:delete val="1"/>
              <c:extLst>
                <c:ext xmlns:c15="http://schemas.microsoft.com/office/drawing/2012/chart" uri="{CE6537A1-D6FC-4f65-9D91-7224C49458BB}"/>
                <c:ext xmlns:c16="http://schemas.microsoft.com/office/drawing/2014/chart" uri="{C3380CC4-5D6E-409C-BE32-E72D297353CC}">
                  <c16:uniqueId val="{00000002-AB02-4728-B439-1ADA12945E2C}"/>
                </c:ext>
              </c:extLst>
            </c:dLbl>
            <c:dLbl>
              <c:idx val="2"/>
              <c:delete val="1"/>
              <c:extLst>
                <c:ext xmlns:c15="http://schemas.microsoft.com/office/drawing/2012/chart" uri="{CE6537A1-D6FC-4f65-9D91-7224C49458BB}"/>
                <c:ext xmlns:c16="http://schemas.microsoft.com/office/drawing/2014/chart" uri="{C3380CC4-5D6E-409C-BE32-E72D297353CC}">
                  <c16:uniqueId val="{00000000-AB02-4728-B439-1ADA12945E2C}"/>
                </c:ext>
              </c:extLst>
            </c:dLbl>
            <c:dLbl>
              <c:idx val="3"/>
              <c:delete val="1"/>
              <c:extLst>
                <c:ext xmlns:c15="http://schemas.microsoft.com/office/drawing/2012/chart" uri="{CE6537A1-D6FC-4f65-9D91-7224C49458BB}"/>
                <c:ext xmlns:c16="http://schemas.microsoft.com/office/drawing/2014/chart" uri="{C3380CC4-5D6E-409C-BE32-E72D297353CC}">
                  <c16:uniqueId val="{00000003-AB02-4728-B439-1ADA12945E2C}"/>
                </c:ext>
              </c:extLst>
            </c:dLbl>
            <c:dLbl>
              <c:idx val="4"/>
              <c:delete val="1"/>
              <c:extLst>
                <c:ext xmlns:c15="http://schemas.microsoft.com/office/drawing/2012/chart" uri="{CE6537A1-D6FC-4f65-9D91-7224C49458BB}"/>
                <c:ext xmlns:c16="http://schemas.microsoft.com/office/drawing/2014/chart" uri="{C3380CC4-5D6E-409C-BE32-E72D297353CC}">
                  <c16:uniqueId val="{00000000-B664-4956-A967-7983B3597165}"/>
                </c:ext>
              </c:extLst>
            </c:dLbl>
            <c:dLbl>
              <c:idx val="5"/>
              <c:delete val="1"/>
              <c:extLst>
                <c:ext xmlns:c15="http://schemas.microsoft.com/office/drawing/2012/chart" uri="{CE6537A1-D6FC-4f65-9D91-7224C49458BB}"/>
                <c:ext xmlns:c16="http://schemas.microsoft.com/office/drawing/2014/chart" uri="{C3380CC4-5D6E-409C-BE32-E72D297353CC}">
                  <c16:uniqueId val="{00000001-31BC-49BF-90B4-5D0230113065}"/>
                </c:ext>
              </c:extLst>
            </c:dLbl>
            <c:dLbl>
              <c:idx val="6"/>
              <c:delete val="1"/>
              <c:extLst>
                <c:ext xmlns:c15="http://schemas.microsoft.com/office/drawing/2012/chart" uri="{CE6537A1-D6FC-4f65-9D91-7224C49458BB}"/>
                <c:ext xmlns:c16="http://schemas.microsoft.com/office/drawing/2014/chart" uri="{C3380CC4-5D6E-409C-BE32-E72D297353CC}">
                  <c16:uniqueId val="{00000001-EED1-49A6-9A20-C7B7EA3733DC}"/>
                </c:ext>
              </c:extLst>
            </c:dLbl>
            <c:numFmt formatCode="&quot;$&quot;#,##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Feedstock: Electricity Costs, $/MWh [60, 32, 20]</c:v>
                </c:pt>
                <c:pt idx="1">
                  <c:v>Direct Capital Cost (Installed), $ MM [900, 441, 314]</c:v>
                </c:pt>
                <c:pt idx="2">
                  <c:v>Plant Capacity (HTSE), MW-dc [100, 500, 500]</c:v>
                </c:pt>
                <c:pt idx="3">
                  <c:v>NPP Capacity Factor, % [80, 90, 95]</c:v>
                </c:pt>
                <c:pt idx="4">
                  <c:v>Stack Service Lifetime, yrs [2, 5, 7]</c:v>
                </c:pt>
                <c:pt idx="5">
                  <c:v>Stack Manufacturing Cost, $/kW-dc [156, 150, 55]</c:v>
                </c:pt>
                <c:pt idx="6">
                  <c:v>Stack degradation rate for the 2nd year of stack, %/1000 hr [0.3, 0.25, 0.2]</c:v>
                </c:pt>
              </c:strCache>
            </c:strRef>
          </c:cat>
          <c:val>
            <c:numRef>
              <c:f>Sensitivity_Tornado!$S$28:$S$34</c:f>
              <c:numCache>
                <c:formatCode>"$"#,##0.00</c:formatCode>
                <c:ptCount val="7"/>
                <c:pt idx="0">
                  <c:v>692859572.99119782</c:v>
                </c:pt>
                <c:pt idx="1">
                  <c:v>692859572.99119782</c:v>
                </c:pt>
                <c:pt idx="2">
                  <c:v>692859572.99119782</c:v>
                </c:pt>
                <c:pt idx="3">
                  <c:v>692859572.99119782</c:v>
                </c:pt>
                <c:pt idx="4">
                  <c:v>692859572.99119782</c:v>
                </c:pt>
                <c:pt idx="5">
                  <c:v>692859572.99119782</c:v>
                </c:pt>
                <c:pt idx="6">
                  <c:v>692859572.99119782</c:v>
                </c:pt>
              </c:numCache>
            </c:numRef>
          </c:val>
          <c:extLst>
            <c:ext xmlns:c16="http://schemas.microsoft.com/office/drawing/2014/chart" uri="{C3380CC4-5D6E-409C-BE32-E72D297353CC}">
              <c16:uniqueId val="{00000002-962F-4F14-AB32-80029DE309CC}"/>
            </c:ext>
          </c:extLst>
        </c:ser>
        <c:ser>
          <c:idx val="1"/>
          <c:order val="2"/>
          <c:tx>
            <c:v>upper bound</c:v>
          </c:tx>
          <c:spPr>
            <a:solidFill>
              <a:schemeClr val="accent2"/>
            </a:solidFill>
            <a:ln>
              <a:noFill/>
            </a:ln>
            <a:effectLst/>
          </c:spPr>
          <c:invertIfNegative val="0"/>
          <c:dLbls>
            <c:dLbl>
              <c:idx val="0"/>
              <c:layout>
                <c:manualLayout>
                  <c:x val="3.1754867195545808E-2"/>
                  <c:y val="7.330948411730515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22C-4965-82F6-1836571BA424}"/>
                </c:ext>
              </c:extLst>
            </c:dLbl>
            <c:dLbl>
              <c:idx val="1"/>
              <c:layout>
                <c:manualLayout>
                  <c:x val="-3.4942068108550091E-3"/>
                  <c:y val="4.775749357057979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2FF-4C99-902F-B651B450B1D8}"/>
                </c:ext>
              </c:extLst>
            </c:dLbl>
            <c:dLbl>
              <c:idx val="2"/>
              <c:layout>
                <c:manualLayout>
                  <c:x val="3.1913481300827854E-3"/>
                  <c:y val="4.618845024809796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93A-4218-BF8B-6BB493716E28}"/>
                </c:ext>
              </c:extLst>
            </c:dLbl>
            <c:dLbl>
              <c:idx val="3"/>
              <c:layout>
                <c:manualLayout>
                  <c:x val="-5.906145789747296E-3"/>
                  <c:y val="4.346432384667305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E5-4605-97C5-91D6F4A47AFC}"/>
                </c:ext>
              </c:extLst>
            </c:dLbl>
            <c:dLbl>
              <c:idx val="4"/>
              <c:layout>
                <c:manualLayout>
                  <c:x val="2.7265030512900294E-3"/>
                  <c:y val="3.873123742513912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0C7-461A-B75D-05A0A445DE37}"/>
                </c:ext>
              </c:extLst>
            </c:dLbl>
            <c:dLbl>
              <c:idx val="5"/>
              <c:layout>
                <c:manualLayout>
                  <c:x val="1.2385830998178237E-2"/>
                  <c:y val="1.303587611316392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1BC-49BF-90B4-5D0230113065}"/>
                </c:ext>
              </c:extLst>
            </c:dLbl>
            <c:dLbl>
              <c:idx val="6"/>
              <c:layout>
                <c:manualLayout>
                  <c:x val="7.0761887453277975E-3"/>
                  <c:y val="4.36730073377904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ED1-49A6-9A20-C7B7EA3733DC}"/>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Feedstock: Electricity Costs, $/MWh [60, 32, 20]</c:v>
                </c:pt>
                <c:pt idx="1">
                  <c:v>Direct Capital Cost (Installed), $ MM [900, 441, 314]</c:v>
                </c:pt>
                <c:pt idx="2">
                  <c:v>Plant Capacity (HTSE), MW-dc [100, 500, 500]</c:v>
                </c:pt>
                <c:pt idx="3">
                  <c:v>NPP Capacity Factor, % [80, 90, 95]</c:v>
                </c:pt>
                <c:pt idx="4">
                  <c:v>Stack Service Lifetime, yrs [2, 5, 7]</c:v>
                </c:pt>
                <c:pt idx="5">
                  <c:v>Stack Manufacturing Cost, $/kW-dc [156, 150, 55]</c:v>
                </c:pt>
                <c:pt idx="6">
                  <c:v>Stack degradation rate for the 2nd year of stack, %/1000 hr [0.3, 0.25, 0.2]</c:v>
                </c:pt>
              </c:strCache>
            </c:strRef>
          </c:cat>
          <c:val>
            <c:numRef>
              <c:f>Sensitivity_Tornado!$T$28:$T$34</c:f>
              <c:numCache>
                <c:formatCode>"$"#,##0.00</c:formatCode>
                <c:ptCount val="7"/>
                <c:pt idx="0">
                  <c:v>1031999929.5743666</c:v>
                </c:pt>
                <c:pt idx="1">
                  <c:v>869662410.00637043</c:v>
                </c:pt>
                <c:pt idx="2">
                  <c:v>692859572.99119782</c:v>
                </c:pt>
                <c:pt idx="3">
                  <c:v>767516763.76715589</c:v>
                </c:pt>
                <c:pt idx="4">
                  <c:v>700542302.33383226</c:v>
                </c:pt>
                <c:pt idx="5">
                  <c:v>751721744.44066203</c:v>
                </c:pt>
                <c:pt idx="6">
                  <c:v>706166867.56943595</c:v>
                </c:pt>
              </c:numCache>
            </c:numRef>
          </c:val>
          <c:extLst>
            <c:ext xmlns:c16="http://schemas.microsoft.com/office/drawing/2014/chart" uri="{C3380CC4-5D6E-409C-BE32-E72D297353CC}">
              <c16:uniqueId val="{00000001-962F-4F14-AB32-80029DE309CC}"/>
            </c:ext>
          </c:extLst>
        </c:ser>
        <c:dLbls>
          <c:dLblPos val="outEnd"/>
          <c:showLegendKey val="0"/>
          <c:showVal val="1"/>
          <c:showCatName val="0"/>
          <c:showSerName val="0"/>
          <c:showPercent val="0"/>
          <c:showBubbleSize val="0"/>
        </c:dLbls>
        <c:gapWidth val="150"/>
        <c:overlap val="100"/>
        <c:axId val="1118140288"/>
        <c:axId val="1441999008"/>
      </c:barChart>
      <c:catAx>
        <c:axId val="111814028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41999008"/>
        <c:crossesAt val="692859572.99119997"/>
        <c:auto val="1"/>
        <c:lblAlgn val="ctr"/>
        <c:lblOffset val="100"/>
        <c:noMultiLvlLbl val="0"/>
      </c:catAx>
      <c:valAx>
        <c:axId val="1441999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118140288"/>
        <c:crosses val="autoZero"/>
        <c:crossBetween val="between"/>
        <c:dispUnits>
          <c:builtInUnit val="millions"/>
        </c:dispUnits>
      </c:valAx>
      <c:spPr>
        <a:noFill/>
        <a:ln>
          <a:solidFill>
            <a:schemeClr val="bg1">
              <a:lumMod val="75000"/>
            </a:schemeClr>
          </a:solidFill>
        </a:ln>
        <a:effectLst/>
      </c:spPr>
    </c:plotArea>
    <c:plotVisOnly val="1"/>
    <c:dispBlanksAs val="zero"/>
    <c:showDLblsOverMax val="0"/>
    <c:extLst/>
  </c:chart>
  <c:spPr>
    <a:noFill/>
    <a:ln w="28575" cap="flat" cmpd="sng" algn="ctr">
      <a:solidFill>
        <a:schemeClr val="tx1"/>
      </a:solidFill>
      <a:round/>
    </a:ln>
    <a:effectLst/>
  </c:spPr>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30597431017213"/>
          <c:y val="0.11209718180368365"/>
          <c:w val="0.71563214921482721"/>
          <c:h val="0.72806318565614458"/>
        </c:manualLayout>
      </c:layout>
      <c:barChart>
        <c:barDir val="bar"/>
        <c:grouping val="stacked"/>
        <c:varyColors val="0"/>
        <c:ser>
          <c:idx val="0"/>
          <c:order val="0"/>
          <c:tx>
            <c:strRef>
              <c:f>LCOH!$T$18</c:f>
              <c:strCache>
                <c:ptCount val="1"/>
                <c:pt idx="0">
                  <c:v>Electricity</c:v>
                </c:pt>
              </c:strCache>
            </c:strRef>
          </c:tx>
          <c:spPr>
            <a:solidFill>
              <a:srgbClr val="FF0000"/>
            </a:solidFill>
            <a:ln>
              <a:noFill/>
            </a:ln>
            <a:effectLst/>
          </c:spPr>
          <c:invertIfNegative val="0"/>
          <c:dLbls>
            <c:dLbl>
              <c:idx val="1"/>
              <c:layout>
                <c:manualLayout>
                  <c:x val="4.2636650464739226E-3"/>
                  <c:y val="-9.523804762502309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LCOH!$U$18:$V$18</c:f>
              <c:numCache>
                <c:formatCode>"$"#,##0.00</c:formatCode>
                <c:ptCount val="2"/>
                <c:pt idx="1">
                  <c:v>1.2019413404847907</c:v>
                </c:pt>
              </c:numCache>
            </c:numRef>
          </c:val>
          <c:extLst>
            <c:ext xmlns:c16="http://schemas.microsoft.com/office/drawing/2014/chart" uri="{C3380CC4-5D6E-409C-BE32-E72D297353CC}">
              <c16:uniqueId val="{00000000-70CB-4721-BADE-C273136E5F07}"/>
            </c:ext>
          </c:extLst>
        </c:ser>
        <c:ser>
          <c:idx val="1"/>
          <c:order val="1"/>
          <c:tx>
            <c:strRef>
              <c:f>LCOH!$T$19</c:f>
              <c:strCache>
                <c:ptCount val="1"/>
                <c:pt idx="0">
                  <c:v>BoP</c:v>
                </c:pt>
              </c:strCache>
            </c:strRef>
          </c:tx>
          <c:spPr>
            <a:solidFill>
              <a:srgbClr val="FFC000"/>
            </a:solidFill>
            <a:ln>
              <a:noFill/>
            </a:ln>
            <a:effectLst/>
          </c:spPr>
          <c:invertIfNegative val="0"/>
          <c:dLbls>
            <c:dLbl>
              <c:idx val="1"/>
              <c:layout>
                <c:manualLayout>
                  <c:x val="-1.4212005801546392E-3"/>
                  <c:y val="-9.975327644355916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LCOH!$U$19:$V$19</c:f>
              <c:numCache>
                <c:formatCode>"$"#,##0.00</c:formatCode>
                <c:ptCount val="2"/>
                <c:pt idx="1">
                  <c:v>0.43711886725977872</c:v>
                </c:pt>
              </c:numCache>
            </c:numRef>
          </c:val>
          <c:extLst>
            <c:ext xmlns:c16="http://schemas.microsoft.com/office/drawing/2014/chart" uri="{C3380CC4-5D6E-409C-BE32-E72D297353CC}">
              <c16:uniqueId val="{00000001-70CB-4721-BADE-C273136E5F07}"/>
            </c:ext>
          </c:extLst>
        </c:ser>
        <c:ser>
          <c:idx val="2"/>
          <c:order val="2"/>
          <c:tx>
            <c:strRef>
              <c:f>LCOH!$T$20</c:f>
              <c:strCache>
                <c:ptCount val="1"/>
                <c:pt idx="0">
                  <c:v>Fixed O&amp;M</c:v>
                </c:pt>
              </c:strCache>
            </c:strRef>
          </c:tx>
          <c:spPr>
            <a:solidFill>
              <a:srgbClr val="7030A0"/>
            </a:solidFill>
            <a:ln>
              <a:noFill/>
            </a:ln>
            <a:effectLst/>
          </c:spPr>
          <c:invertIfNegative val="0"/>
          <c:dLbls>
            <c:dLbl>
              <c:idx val="1"/>
              <c:layout>
                <c:manualLayout>
                  <c:x val="-1.4212312160828096E-3"/>
                  <c:y val="-6.366554384107789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LCOH!$U$20:$V$20</c:f>
              <c:numCache>
                <c:formatCode>"$"#,##0.00</c:formatCode>
                <c:ptCount val="2"/>
                <c:pt idx="1">
                  <c:v>0.26352136208979804</c:v>
                </c:pt>
              </c:numCache>
            </c:numRef>
          </c:val>
          <c:extLst>
            <c:ext xmlns:c16="http://schemas.microsoft.com/office/drawing/2014/chart" uri="{C3380CC4-5D6E-409C-BE32-E72D297353CC}">
              <c16:uniqueId val="{00000002-70CB-4721-BADE-C273136E5F07}"/>
            </c:ext>
          </c:extLst>
        </c:ser>
        <c:ser>
          <c:idx val="3"/>
          <c:order val="3"/>
          <c:tx>
            <c:strRef>
              <c:f>LCOH!$T$21</c:f>
              <c:strCache>
                <c:ptCount val="1"/>
                <c:pt idx="0">
                  <c:v>Stack Replacement</c:v>
                </c:pt>
              </c:strCache>
            </c:strRef>
          </c:tx>
          <c:spPr>
            <a:solidFill>
              <a:srgbClr val="002060"/>
            </a:solidFill>
            <a:ln>
              <a:noFill/>
            </a:ln>
            <a:effectLst/>
          </c:spPr>
          <c:invertIfNegative val="0"/>
          <c:dLbls>
            <c:dLbl>
              <c:idx val="1"/>
              <c:layout>
                <c:manualLayout>
                  <c:x val="-1.1635656397459191E-3"/>
                  <c:y val="-9.390635483170609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5F9-4692-A057-4FD61831694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LCOH!$U$21:$V$21</c:f>
              <c:numCache>
                <c:formatCode>"$"#,##0.00</c:formatCode>
                <c:ptCount val="2"/>
                <c:pt idx="1">
                  <c:v>0.14038262167928015</c:v>
                </c:pt>
              </c:numCache>
            </c:numRef>
          </c:val>
          <c:extLst>
            <c:ext xmlns:c16="http://schemas.microsoft.com/office/drawing/2014/chart" uri="{C3380CC4-5D6E-409C-BE32-E72D297353CC}">
              <c16:uniqueId val="{00000003-70CB-4721-BADE-C273136E5F07}"/>
            </c:ext>
          </c:extLst>
        </c:ser>
        <c:ser>
          <c:idx val="4"/>
          <c:order val="4"/>
          <c:tx>
            <c:strRef>
              <c:f>LCOH!$T$22</c:f>
              <c:strCache>
                <c:ptCount val="1"/>
                <c:pt idx="0">
                  <c:v>Tax Payment (H2 only)</c:v>
                </c:pt>
              </c:strCache>
            </c:strRef>
          </c:tx>
          <c:spPr>
            <a:solidFill>
              <a:srgbClr val="00B0F0"/>
            </a:solidFill>
            <a:ln>
              <a:noFill/>
            </a:ln>
            <a:effectLst/>
          </c:spPr>
          <c:invertIfNegative val="0"/>
          <c:dLbls>
            <c:dLbl>
              <c:idx val="1"/>
              <c:layout>
                <c:manualLayout>
                  <c:x val="1.8678719011313168E-3"/>
                  <c:y val="5.6148249478851199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0CB-4721-BADE-C273136E5F0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LCOH!$U$22:$V$22</c:f>
              <c:numCache>
                <c:formatCode>"$"#,##0.00</c:formatCode>
                <c:ptCount val="2"/>
                <c:pt idx="1">
                  <c:v>0.11175773369770461</c:v>
                </c:pt>
              </c:numCache>
            </c:numRef>
          </c:val>
          <c:extLst>
            <c:ext xmlns:c16="http://schemas.microsoft.com/office/drawing/2014/chart" uri="{C3380CC4-5D6E-409C-BE32-E72D297353CC}">
              <c16:uniqueId val="{00000004-70CB-4721-BADE-C273136E5F07}"/>
            </c:ext>
          </c:extLst>
        </c:ser>
        <c:ser>
          <c:idx val="5"/>
          <c:order val="5"/>
          <c:tx>
            <c:strRef>
              <c:f>LCOH!$T$24</c:f>
              <c:strCache>
                <c:ptCount val="1"/>
                <c:pt idx="0">
                  <c:v>Thermal</c:v>
                </c:pt>
              </c:strCache>
            </c:strRef>
          </c:tx>
          <c:spPr>
            <a:solidFill>
              <a:schemeClr val="bg1">
                <a:lumMod val="75000"/>
              </a:schemeClr>
            </a:solidFill>
            <a:ln>
              <a:noFill/>
            </a:ln>
            <a:effectLst/>
          </c:spPr>
          <c:invertIfNegative val="0"/>
          <c:dLbls>
            <c:dLbl>
              <c:idx val="1"/>
              <c:layout>
                <c:manualLayout>
                  <c:x val="-3.853484351955397E-3"/>
                  <c:y val="-0.23299993960061316"/>
                </c:manualLayout>
              </c:layout>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0CB-4721-BADE-C273136E5F0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LCOH!$U$24:$V$24</c:f>
              <c:numCache>
                <c:formatCode>"$"#,##0.00</c:formatCode>
                <c:ptCount val="2"/>
                <c:pt idx="1">
                  <c:v>7.1477530199759109E-2</c:v>
                </c:pt>
              </c:numCache>
            </c:numRef>
          </c:val>
          <c:extLst>
            <c:ext xmlns:c16="http://schemas.microsoft.com/office/drawing/2014/chart" uri="{C3380CC4-5D6E-409C-BE32-E72D297353CC}">
              <c16:uniqueId val="{00000005-70CB-4721-BADE-C273136E5F07}"/>
            </c:ext>
          </c:extLst>
        </c:ser>
        <c:ser>
          <c:idx val="6"/>
          <c:order val="6"/>
          <c:tx>
            <c:strRef>
              <c:f>LCOH!$T$23</c:f>
              <c:strCache>
                <c:ptCount val="1"/>
                <c:pt idx="0">
                  <c:v>Stack</c:v>
                </c:pt>
              </c:strCache>
            </c:strRef>
          </c:tx>
          <c:spPr>
            <a:solidFill>
              <a:schemeClr val="accent2">
                <a:lumMod val="75000"/>
              </a:schemeClr>
            </a:solidFill>
            <a:ln>
              <a:noFill/>
            </a:ln>
            <a:effectLst/>
          </c:spPr>
          <c:invertIfNegative val="0"/>
          <c:dLbls>
            <c:dLbl>
              <c:idx val="1"/>
              <c:layout>
                <c:manualLayout>
                  <c:x val="4.4902398986596807E-2"/>
                  <c:y val="-0.18244206148004616"/>
                </c:manualLayout>
              </c:layout>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0CB-4721-BADE-C273136E5F07}"/>
                </c:ext>
              </c:extLst>
            </c:dLbl>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LCOH!$U$23:$V$23</c:f>
              <c:numCache>
                <c:formatCode>"$"#,##0.00</c:formatCode>
                <c:ptCount val="2"/>
                <c:pt idx="1">
                  <c:v>8.9305779847889705E-2</c:v>
                </c:pt>
              </c:numCache>
            </c:numRef>
          </c:val>
          <c:extLst>
            <c:ext xmlns:c16="http://schemas.microsoft.com/office/drawing/2014/chart" uri="{C3380CC4-5D6E-409C-BE32-E72D297353CC}">
              <c16:uniqueId val="{00000006-70CB-4721-BADE-C273136E5F07}"/>
            </c:ext>
          </c:extLst>
        </c:ser>
        <c:ser>
          <c:idx val="10"/>
          <c:order val="7"/>
          <c:tx>
            <c:strRef>
              <c:f>LCOH!$T$25</c:f>
              <c:strCache>
                <c:ptCount val="1"/>
                <c:pt idx="0">
                  <c:v>Variable O&amp;M without tax</c:v>
                </c:pt>
              </c:strCache>
            </c:strRef>
          </c:tx>
          <c:spPr>
            <a:solidFill>
              <a:schemeClr val="bg1">
                <a:lumMod val="50000"/>
              </a:schemeClr>
            </a:solidFill>
            <a:ln>
              <a:noFill/>
            </a:ln>
            <a:effectLst/>
          </c:spPr>
          <c:invertIfNegative val="0"/>
          <c:dLbls>
            <c:dLbl>
              <c:idx val="1"/>
              <c:layout>
                <c:manualLayout>
                  <c:x val="5.4927034950015122E-2"/>
                  <c:y val="4.1464995290479856E-3"/>
                </c:manualLayout>
              </c:layout>
              <c:spPr>
                <a:noFill/>
                <a:ln>
                  <a:solidFill>
                    <a:schemeClr val="tx1"/>
                  </a:solidFill>
                </a:ln>
                <a:effectLst/>
              </c:spPr>
              <c:txPr>
                <a:bodyPr rot="0" spcFirstLastPara="1" vertOverflow="ellipsis" vert="horz" wrap="square" lIns="38100" tIns="19050" rIns="38100" bIns="19050" anchor="ctr" anchorCtr="1">
                  <a:no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1401849310210324E-2"/>
                      <c:h val="7.4572021371588443E-2"/>
                    </c:manualLayout>
                  </c15:layout>
                </c:ext>
                <c:ext xmlns:c16="http://schemas.microsoft.com/office/drawing/2014/chart" uri="{C3380CC4-5D6E-409C-BE32-E72D297353CC}">
                  <c16:uniqueId val="{00000002-AE20-4DA4-B49E-B5864EA875F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LCOH!$U$25:$V$25</c:f>
              <c:numCache>
                <c:formatCode>"$"#,##0.00</c:formatCode>
                <c:ptCount val="2"/>
                <c:pt idx="1">
                  <c:v>2.7308299984514568E-2</c:v>
                </c:pt>
              </c:numCache>
            </c:numRef>
          </c:val>
          <c:extLst>
            <c:ext xmlns:c16="http://schemas.microsoft.com/office/drawing/2014/chart" uri="{C3380CC4-5D6E-409C-BE32-E72D297353CC}">
              <c16:uniqueId val="{00000001-AE20-4DA4-B49E-B5864EA875FC}"/>
            </c:ext>
          </c:extLst>
        </c:ser>
        <c:ser>
          <c:idx val="7"/>
          <c:order val="8"/>
          <c:tx>
            <c:strRef>
              <c:f>LCOH!$T$27</c:f>
              <c:strCache>
                <c:ptCount val="1"/>
                <c:pt idx="0">
                  <c:v>Hydrogen Sale</c:v>
                </c:pt>
              </c:strCache>
            </c:strRef>
          </c:tx>
          <c:spPr>
            <a:solidFill>
              <a:srgbClr val="C6EFC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LCOH!$U$27:$V$27</c:f>
              <c:numCache>
                <c:formatCode>General</c:formatCode>
                <c:ptCount val="2"/>
                <c:pt idx="0" formatCode="&quot;$&quot;#,##0.00">
                  <c:v>2.3428135352435158</c:v>
                </c:pt>
              </c:numCache>
            </c:numRef>
          </c:val>
          <c:extLst>
            <c:ext xmlns:c16="http://schemas.microsoft.com/office/drawing/2014/chart" uri="{C3380CC4-5D6E-409C-BE32-E72D297353CC}">
              <c16:uniqueId val="{00000007-70CB-4721-BADE-C273136E5F07}"/>
            </c:ext>
          </c:extLst>
        </c:ser>
        <c:ser>
          <c:idx val="8"/>
          <c:order val="9"/>
          <c:tx>
            <c:strRef>
              <c:f>LCOH!$T$28</c:f>
              <c:strCache>
                <c:ptCount val="1"/>
                <c:pt idx="0">
                  <c:v>PTC: IRA 45V</c:v>
                </c:pt>
              </c:strCache>
            </c:strRef>
          </c:tx>
          <c:spPr>
            <a:solidFill>
              <a:srgbClr val="006100"/>
            </a:solidFill>
            <a:ln>
              <a:noFill/>
            </a:ln>
            <a:effectLst/>
          </c:spPr>
          <c:invertIfNegative val="0"/>
          <c:dLbls>
            <c:dLbl>
              <c:idx val="0"/>
              <c:layout>
                <c:manualLayout>
                  <c:x val="0"/>
                  <c:y val="-7.6015287135051275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E20-4DA4-B49E-B5864EA875F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LCOH!$U$28:$V$28</c:f>
              <c:numCache>
                <c:formatCode>General</c:formatCode>
                <c:ptCount val="2"/>
                <c:pt idx="0" formatCode="&quot;$&quot;#,##0.00">
                  <c:v>0.75487448711161087</c:v>
                </c:pt>
              </c:numCache>
            </c:numRef>
          </c:val>
          <c:extLst>
            <c:ext xmlns:c16="http://schemas.microsoft.com/office/drawing/2014/chart" uri="{C3380CC4-5D6E-409C-BE32-E72D297353CC}">
              <c16:uniqueId val="{00000008-70CB-4721-BADE-C273136E5F07}"/>
            </c:ext>
          </c:extLst>
        </c:ser>
        <c:ser>
          <c:idx val="9"/>
          <c:order val="10"/>
          <c:tx>
            <c:strRef>
              <c:f>LCOH!$T$29</c:f>
              <c:strCache>
                <c:ptCount val="1"/>
                <c:pt idx="0">
                  <c:v>Electricity Sale</c:v>
                </c:pt>
              </c:strCache>
            </c:strRef>
          </c:tx>
          <c:spPr>
            <a:solidFill>
              <a:srgbClr val="63BE7B"/>
            </a:solidFill>
            <a:ln>
              <a:noFill/>
            </a:ln>
            <a:effectLst/>
          </c:spPr>
          <c:invertIfNegative val="0"/>
          <c:dLbls>
            <c:dLbl>
              <c:idx val="0"/>
              <c:layout>
                <c:manualLayout>
                  <c:x val="1.2923984279143406E-3"/>
                  <c:y val="-0.2239021595229427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E20-4DA4-B49E-B5864EA875FC}"/>
                </c:ext>
              </c:extLst>
            </c:dLbl>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LCOH!$U$29:$V$29</c:f>
              <c:numCache>
                <c:formatCode>General</c:formatCode>
                <c:ptCount val="2"/>
                <c:pt idx="0" formatCode="&quot;$&quot;#,##0.00">
                  <c:v>0</c:v>
                </c:pt>
              </c:numCache>
            </c:numRef>
          </c:val>
          <c:extLst>
            <c:ext xmlns:c16="http://schemas.microsoft.com/office/drawing/2014/chart" uri="{C3380CC4-5D6E-409C-BE32-E72D297353CC}">
              <c16:uniqueId val="{00000000-AE20-4DA4-B49E-B5864EA875FC}"/>
            </c:ext>
          </c:extLst>
        </c:ser>
        <c:dLbls>
          <c:dLblPos val="ctr"/>
          <c:showLegendKey val="0"/>
          <c:showVal val="1"/>
          <c:showCatName val="0"/>
          <c:showSerName val="0"/>
          <c:showPercent val="0"/>
          <c:showBubbleSize val="0"/>
        </c:dLbls>
        <c:gapWidth val="20"/>
        <c:overlap val="100"/>
        <c:axId val="1954867488"/>
        <c:axId val="1954862912"/>
      </c:barChart>
      <c:catAx>
        <c:axId val="1954867488"/>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954862912"/>
        <c:crosses val="autoZero"/>
        <c:auto val="1"/>
        <c:lblAlgn val="ctr"/>
        <c:lblOffset val="100"/>
        <c:noMultiLvlLbl val="0"/>
      </c:catAx>
      <c:valAx>
        <c:axId val="195486291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954867488"/>
        <c:crosses val="autoZero"/>
        <c:crossBetween val="between"/>
      </c:valAx>
      <c:spPr>
        <a:noFill/>
        <a:ln>
          <a:noFill/>
        </a:ln>
        <a:effectLst/>
      </c:spPr>
    </c:plotArea>
    <c:legend>
      <c:legendPos val="r"/>
      <c:layout>
        <c:manualLayout>
          <c:xMode val="edge"/>
          <c:yMode val="edge"/>
          <c:x val="0.85189673716208247"/>
          <c:y val="3.7160206003437724E-2"/>
          <c:w val="0.14437962891068826"/>
          <c:h val="0.82475623950152555"/>
        </c:manualLayout>
      </c:layout>
      <c:overlay val="0"/>
      <c:spPr>
        <a:noFill/>
        <a:ln>
          <a:noFill/>
        </a:ln>
        <a:effectLst/>
      </c:spPr>
      <c:txPr>
        <a:bodyPr rot="0" spcFirstLastPara="1" vertOverflow="ellipsis" vert="horz" wrap="square" anchor="ctr" anchorCtr="1"/>
        <a:lstStyle/>
        <a:p>
          <a:pPr>
            <a:defRPr sz="1000" b="0" i="0" u="none" strike="noStrike" kern="1200" spc="-5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Correlations!$A$102</c:f>
          <c:strCache>
            <c:ptCount val="1"/>
            <c:pt idx="0">
              <c:v>(a) HTSE: Competitiveness with Respect to Electricity Price</c:v>
            </c:pt>
          </c:strCache>
        </c:strRef>
      </c:tx>
      <c:layout>
        <c:manualLayout>
          <c:xMode val="edge"/>
          <c:yMode val="edge"/>
          <c:x val="0.24094254801888815"/>
          <c:y val="1.0282395256148534E-2"/>
        </c:manualLayout>
      </c:layout>
      <c:overlay val="0"/>
      <c:spPr>
        <a:noFill/>
        <a:ln>
          <a:noFill/>
        </a:ln>
        <a:effectLst/>
      </c:spPr>
      <c:txPr>
        <a:bodyPr rot="0" spcFirstLastPara="1" vertOverflow="ellipsis" vert="horz" wrap="square" anchor="ctr" anchorCtr="1"/>
        <a:lstStyle/>
        <a:p>
          <a:pPr>
            <a:defRPr sz="15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861730703050024"/>
          <c:y val="7.7976540740650691E-2"/>
          <c:w val="0.79771759260621"/>
          <c:h val="0.5250003096648076"/>
        </c:manualLayout>
      </c:layout>
      <c:scatterChart>
        <c:scatterStyle val="lineMarker"/>
        <c:varyColors val="0"/>
        <c:ser>
          <c:idx val="1"/>
          <c:order val="0"/>
          <c:tx>
            <c:strRef>
              <c:f>Correlations!$C$107</c:f>
              <c:strCache>
                <c:ptCount val="1"/>
                <c:pt idx="0">
                  <c:v>NPP-HTSE, PTC=$0/kg</c:v>
                </c:pt>
              </c:strCache>
            </c:strRef>
          </c:tx>
          <c:spPr>
            <a:ln w="63500" cap="rnd" cmpd="dbl">
              <a:solidFill>
                <a:srgbClr val="0070C0"/>
              </a:solidFill>
              <a:prstDash val="solid"/>
              <a:roun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Correlations!$E$107:$Z$107</c:f>
              <c:numCache>
                <c:formatCode>"$"#,##0.00</c:formatCode>
                <c:ptCount val="22"/>
                <c:pt idx="0">
                  <c:v>1.2014936695356286</c:v>
                </c:pt>
                <c:pt idx="1">
                  <c:v>1.6669148359665138</c:v>
                </c:pt>
                <c:pt idx="2">
                  <c:v>1.9733181674746401</c:v>
                </c:pt>
                <c:pt idx="3">
                  <c:v>2.2873694079887046</c:v>
                </c:pt>
                <c:pt idx="4">
                  <c:v>2.6023928583001283</c:v>
                </c:pt>
                <c:pt idx="5">
                  <c:v>2.9748156096433744</c:v>
                </c:pt>
                <c:pt idx="6">
                  <c:v>3.3825786623284415</c:v>
                </c:pt>
                <c:pt idx="7">
                  <c:v>3.7903417150135095</c:v>
                </c:pt>
                <c:pt idx="8">
                  <c:v>4.1981047676985774</c:v>
                </c:pt>
                <c:pt idx="9">
                  <c:v>4.6058678203836454</c:v>
                </c:pt>
                <c:pt idx="10">
                  <c:v>5.0136308730687142</c:v>
                </c:pt>
                <c:pt idx="11">
                  <c:v>5.4213939257537795</c:v>
                </c:pt>
                <c:pt idx="12">
                  <c:v>5.8291569784388493</c:v>
                </c:pt>
                <c:pt idx="13">
                  <c:v>6.2369200311239172</c:v>
                </c:pt>
                <c:pt idx="14">
                  <c:v>6.6446830838089834</c:v>
                </c:pt>
                <c:pt idx="15">
                  <c:v>7.0524461364940514</c:v>
                </c:pt>
                <c:pt idx="16">
                  <c:v>7.4602091891791229</c:v>
                </c:pt>
                <c:pt idx="17">
                  <c:v>7.8679722418641864</c:v>
                </c:pt>
                <c:pt idx="18">
                  <c:v>8.2757352945492535</c:v>
                </c:pt>
                <c:pt idx="19">
                  <c:v>8.6834983472343232</c:v>
                </c:pt>
                <c:pt idx="20">
                  <c:v>9.0912613999193894</c:v>
                </c:pt>
                <c:pt idx="21">
                  <c:v>2.3693891210531035</c:v>
                </c:pt>
              </c:numCache>
            </c:numRef>
          </c:yVal>
          <c:smooth val="0"/>
          <c:extLst>
            <c:ext xmlns:c16="http://schemas.microsoft.com/office/drawing/2014/chart" uri="{C3380CC4-5D6E-409C-BE32-E72D297353CC}">
              <c16:uniqueId val="{00000001-DA28-4C29-BC52-20C0337F7EC3}"/>
            </c:ext>
          </c:extLst>
        </c:ser>
        <c:ser>
          <c:idx val="2"/>
          <c:order val="1"/>
          <c:tx>
            <c:strRef>
              <c:f>Correlations!$C$108</c:f>
              <c:strCache>
                <c:ptCount val="1"/>
                <c:pt idx="0">
                  <c:v>NPP-HTSE, PTC=$3/kg</c:v>
                </c:pt>
              </c:strCache>
            </c:strRef>
          </c:tx>
          <c:spPr>
            <a:ln w="38100" cap="rnd" cmpd="dbl">
              <a:solidFill>
                <a:srgbClr val="0070C0"/>
              </a:solidFill>
              <a:prstDash val="dash"/>
              <a:roun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Correlations!$E$108:$Z$108</c:f>
              <c:numCache>
                <c:formatCode>"$"#,##0.00</c:formatCode>
                <c:ptCount val="22"/>
                <c:pt idx="0">
                  <c:v>0.44661918242401877</c:v>
                </c:pt>
                <c:pt idx="1">
                  <c:v>0.91204034885490293</c:v>
                </c:pt>
                <c:pt idx="2">
                  <c:v>1.2184436803630292</c:v>
                </c:pt>
                <c:pt idx="3">
                  <c:v>1.5324949208770937</c:v>
                </c:pt>
                <c:pt idx="4">
                  <c:v>1.8475183711885175</c:v>
                </c:pt>
                <c:pt idx="5">
                  <c:v>2.2199411225317638</c:v>
                </c:pt>
                <c:pt idx="6">
                  <c:v>2.6277041752168309</c:v>
                </c:pt>
                <c:pt idx="7">
                  <c:v>3.0354672279018988</c:v>
                </c:pt>
                <c:pt idx="8">
                  <c:v>3.4432302805869668</c:v>
                </c:pt>
                <c:pt idx="9">
                  <c:v>3.8509933332720347</c:v>
                </c:pt>
                <c:pt idx="10">
                  <c:v>4.2587563859571036</c:v>
                </c:pt>
                <c:pt idx="11">
                  <c:v>4.6665194386421689</c:v>
                </c:pt>
                <c:pt idx="12">
                  <c:v>5.0742824913272386</c:v>
                </c:pt>
                <c:pt idx="13">
                  <c:v>5.4820455440123066</c:v>
                </c:pt>
                <c:pt idx="14">
                  <c:v>5.8898085966973728</c:v>
                </c:pt>
                <c:pt idx="15">
                  <c:v>6.2975716493824407</c:v>
                </c:pt>
                <c:pt idx="16">
                  <c:v>6.7053347020675123</c:v>
                </c:pt>
                <c:pt idx="17">
                  <c:v>7.1130977547525758</c:v>
                </c:pt>
                <c:pt idx="18">
                  <c:v>7.5208608074376428</c:v>
                </c:pt>
                <c:pt idx="19">
                  <c:v>7.9286238601227126</c:v>
                </c:pt>
                <c:pt idx="20">
                  <c:v>8.3363869128077788</c:v>
                </c:pt>
                <c:pt idx="21">
                  <c:v>1.6145146339414942</c:v>
                </c:pt>
              </c:numCache>
            </c:numRef>
          </c:yVal>
          <c:smooth val="0"/>
          <c:extLst>
            <c:ext xmlns:c16="http://schemas.microsoft.com/office/drawing/2014/chart" uri="{C3380CC4-5D6E-409C-BE32-E72D297353CC}">
              <c16:uniqueId val="{00000002-DA28-4C29-BC52-20C0337F7EC3}"/>
            </c:ext>
          </c:extLst>
        </c:ser>
        <c:ser>
          <c:idx val="3"/>
          <c:order val="2"/>
          <c:tx>
            <c:strRef>
              <c:f>Correlations!$C$106</c:f>
              <c:strCache>
                <c:ptCount val="1"/>
                <c:pt idx="0">
                  <c:v>Hydrogen Market Price: User-defined (uncorrelated with NG and elec price)</c:v>
                </c:pt>
              </c:strCache>
            </c:strRef>
          </c:tx>
          <c:spPr>
            <a:ln w="25400" cap="rnd" cmpd="sng" algn="ctr">
              <a:solidFill>
                <a:srgbClr val="FF0000"/>
              </a:solidFill>
              <a:prstDash val="solid"/>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Correlations!$E$106:$Z$106</c:f>
              <c:numCache>
                <c:formatCode>"$"#,##0.00</c:formatCode>
                <c:ptCount val="22"/>
                <c:pt idx="0">
                  <c:v>2.3428135352435149</c:v>
                </c:pt>
                <c:pt idx="1">
                  <c:v>2.3428135352435149</c:v>
                </c:pt>
                <c:pt idx="2">
                  <c:v>2.3428135352435149</c:v>
                </c:pt>
                <c:pt idx="3">
                  <c:v>2.3428135352435149</c:v>
                </c:pt>
                <c:pt idx="4">
                  <c:v>2.3428135352435149</c:v>
                </c:pt>
                <c:pt idx="5">
                  <c:v>2.3428135352435149</c:v>
                </c:pt>
                <c:pt idx="6">
                  <c:v>2.3428135352435149</c:v>
                </c:pt>
                <c:pt idx="7">
                  <c:v>2.3428135352435149</c:v>
                </c:pt>
                <c:pt idx="8">
                  <c:v>2.3428135352435149</c:v>
                </c:pt>
                <c:pt idx="9">
                  <c:v>2.3428135352435149</c:v>
                </c:pt>
                <c:pt idx="10">
                  <c:v>2.3428135352435149</c:v>
                </c:pt>
                <c:pt idx="11">
                  <c:v>2.3428135352435149</c:v>
                </c:pt>
                <c:pt idx="12">
                  <c:v>2.3428135352435149</c:v>
                </c:pt>
                <c:pt idx="13">
                  <c:v>2.3428135352435149</c:v>
                </c:pt>
                <c:pt idx="14">
                  <c:v>2.3428135352435149</c:v>
                </c:pt>
                <c:pt idx="15">
                  <c:v>2.3428135352435149</c:v>
                </c:pt>
                <c:pt idx="16">
                  <c:v>2.3428135352435149</c:v>
                </c:pt>
                <c:pt idx="17">
                  <c:v>2.3428135352435149</c:v>
                </c:pt>
                <c:pt idx="18">
                  <c:v>2.3428135352435149</c:v>
                </c:pt>
                <c:pt idx="19">
                  <c:v>2.3428135352435149</c:v>
                </c:pt>
                <c:pt idx="20">
                  <c:v>2.3428135352435149</c:v>
                </c:pt>
                <c:pt idx="21">
                  <c:v>2.3428135352435149</c:v>
                </c:pt>
              </c:numCache>
            </c:numRef>
          </c:yVal>
          <c:smooth val="0"/>
          <c:extLst>
            <c:ext xmlns:c16="http://schemas.microsoft.com/office/drawing/2014/chart" uri="{C3380CC4-5D6E-409C-BE32-E72D297353CC}">
              <c16:uniqueId val="{00000003-DA28-4C29-BC52-20C0337F7EC3}"/>
            </c:ext>
          </c:extLst>
        </c:ser>
        <c:ser>
          <c:idx val="4"/>
          <c:order val="3"/>
          <c:tx>
            <c:strRef>
              <c:f>Correlations!$A$118</c:f>
              <c:strCache>
                <c:ptCount val="1"/>
                <c:pt idx="0">
                  <c:v>Intersection Points</c:v>
                </c:pt>
              </c:strCache>
            </c:strRef>
          </c:tx>
          <c:spPr>
            <a:ln w="25400" cap="rnd">
              <a:noFill/>
              <a:round/>
            </a:ln>
            <a:effectLst/>
          </c:spPr>
          <c:marker>
            <c:symbol val="star"/>
            <c:size val="7"/>
            <c:spPr>
              <a:noFill/>
              <a:ln w="63500">
                <a:solidFill>
                  <a:srgbClr val="7030A0"/>
                </a:solidFill>
              </a:ln>
              <a:effectLst/>
              <a:extLst>
                <a:ext uri="{909E8E84-426E-40DD-AFC4-6F175D3DCCD1}">
                  <a14:hiddenFill xmlns:a14="http://schemas.microsoft.com/office/drawing/2010/main">
                    <a:solidFill>
                      <a:srgbClr val="5B9BD5"/>
                    </a:solidFill>
                  </a14:hiddenFill>
                </a:ext>
              </a:extLst>
            </c:spPr>
          </c:marker>
          <c:dLbls>
            <c:dLbl>
              <c:idx val="1"/>
              <c:layout>
                <c:manualLayout>
                  <c:x val="-3.2445888085875077E-2"/>
                  <c:y val="-0.26062046292603325"/>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40E-472A-961B-74BA76E121DB}"/>
                </c:ext>
              </c:extLst>
            </c:dLbl>
            <c:dLbl>
              <c:idx val="2"/>
              <c:layout>
                <c:manualLayout>
                  <c:x val="7.0616875117037736E-3"/>
                  <c:y val="5.6744730459666479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F5D-4D4F-8719-10A8E1A38FDC}"/>
                </c:ext>
              </c:extLst>
            </c:dLbl>
            <c:dLbl>
              <c:idx val="3"/>
              <c:layout>
                <c:manualLayout>
                  <c:x val="9.1765611954252077E-2"/>
                  <c:y val="0.10117329995428431"/>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F5D-4D4F-8719-10A8E1A38FDC}"/>
                </c:ext>
              </c:extLst>
            </c:dLbl>
            <c:dLbl>
              <c:idx val="4"/>
              <c:layout>
                <c:manualLayout>
                  <c:x val="-0.12648960000901102"/>
                  <c:y val="-7.5756001095510381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F5D-4D4F-8719-10A8E1A38FDC}"/>
                </c:ext>
              </c:extLst>
            </c:dLbl>
            <c:dLbl>
              <c:idx val="5"/>
              <c:layout>
                <c:manualLayout>
                  <c:x val="-0.11488142757176789"/>
                  <c:y val="-0.13869994574516054"/>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F5D-4D4F-8719-10A8E1A38FDC}"/>
                </c:ext>
              </c:extLst>
            </c:dLbl>
            <c:spPr>
              <a:solidFill>
                <a:sysClr val="window" lastClr="FFFFFF">
                  <a:lumMod val="100000"/>
                </a:sysClr>
              </a:solidFill>
              <a:ln w="9525" cap="flat" cmpd="sng" algn="ctr">
                <a:solidFill>
                  <a:sysClr val="windowText" lastClr="000000">
                    <a:lumMod val="100000"/>
                  </a:sysClr>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Correlations!$N$120:$N$125</c:f>
              <c:numCache>
                <c:formatCode>"$"#,##0.00</c:formatCode>
                <c:ptCount val="6"/>
                <c:pt idx="0">
                  <c:v>-13.037226497421999</c:v>
                </c:pt>
                <c:pt idx="1">
                  <c:v>4.6739287405509291</c:v>
                </c:pt>
                <c:pt idx="2">
                  <c:v>7.9330448170659214</c:v>
                </c:pt>
                <c:pt idx="3">
                  <c:v>26.105273943049855</c:v>
                </c:pt>
                <c:pt idx="4">
                  <c:v>31.047566787474697</c:v>
                </c:pt>
                <c:pt idx="5">
                  <c:v>51.110000000000007</c:v>
                </c:pt>
              </c:numCache>
            </c:numRef>
          </c:xVal>
          <c:yVal>
            <c:numRef>
              <c:f>Correlations!$M$120:$M$125</c:f>
              <c:numCache>
                <c:formatCode>"$"#,##0.00</c:formatCode>
                <c:ptCount val="6"/>
                <c:pt idx="0">
                  <c:v>0.73217285714248004</c:v>
                </c:pt>
                <c:pt idx="1">
                  <c:v>1.3711784618773772</c:v>
                </c:pt>
                <c:pt idx="2">
                  <c:v>0.73507137642927067</c:v>
                </c:pt>
                <c:pt idx="3">
                  <c:v>1.4040255087886204</c:v>
                </c:pt>
                <c:pt idx="4">
                  <c:v>2.3428089721506593</c:v>
                </c:pt>
                <c:pt idx="5">
                  <c:v>2.3431506841816638</c:v>
                </c:pt>
              </c:numCache>
            </c:numRef>
          </c:yVal>
          <c:smooth val="0"/>
          <c:extLst xmlns:c15="http://schemas.microsoft.com/office/drawing/2012/chart">
            <c:ext xmlns:c16="http://schemas.microsoft.com/office/drawing/2014/chart" uri="{C3380CC4-5D6E-409C-BE32-E72D297353CC}">
              <c16:uniqueId val="{00000000-2562-4410-BD84-1EAC80101B9B}"/>
            </c:ext>
          </c:extLst>
        </c:ser>
        <c:ser>
          <c:idx val="0"/>
          <c:order val="4"/>
          <c:tx>
            <c:strRef>
              <c:f>Correlations!$C$104</c:f>
              <c:strCache>
                <c:ptCount val="1"/>
                <c:pt idx="0">
                  <c:v>LCOH: SMR with CCS (correlated with NG price)</c:v>
                </c:pt>
              </c:strCache>
            </c:strRef>
          </c:tx>
          <c:spPr>
            <a:ln w="38100" cap="rnd" cmpd="sng" algn="ctr">
              <a:solidFill>
                <a:srgbClr val="63BE7B"/>
              </a:solidFill>
              <a:prstDash val="sysDash"/>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Correlations!$E$104:$Z$104</c:f>
              <c:numCache>
                <c:formatCode>"$"#,##0.00</c:formatCode>
                <c:ptCount val="22"/>
                <c:pt idx="0">
                  <c:v>1.3639408070735801</c:v>
                </c:pt>
                <c:pt idx="1">
                  <c:v>1.379243051669387</c:v>
                </c:pt>
                <c:pt idx="2">
                  <c:v>1.3945452962651945</c:v>
                </c:pt>
                <c:pt idx="3">
                  <c:v>1.4098475408610016</c:v>
                </c:pt>
                <c:pt idx="4">
                  <c:v>1.4251497854568078</c:v>
                </c:pt>
                <c:pt idx="5">
                  <c:v>1.4404520300526156</c:v>
                </c:pt>
                <c:pt idx="6">
                  <c:v>1.4557542746484229</c:v>
                </c:pt>
                <c:pt idx="7">
                  <c:v>1.4710565192442291</c:v>
                </c:pt>
                <c:pt idx="8">
                  <c:v>1.4863587638400366</c:v>
                </c:pt>
                <c:pt idx="9">
                  <c:v>1.5016610084358439</c:v>
                </c:pt>
                <c:pt idx="10">
                  <c:v>1.5169632530316506</c:v>
                </c:pt>
                <c:pt idx="11">
                  <c:v>1.5322654976274572</c:v>
                </c:pt>
                <c:pt idx="12">
                  <c:v>1.5475677422232641</c:v>
                </c:pt>
                <c:pt idx="13">
                  <c:v>1.5628699868190714</c:v>
                </c:pt>
                <c:pt idx="14">
                  <c:v>1.5781722314148785</c:v>
                </c:pt>
                <c:pt idx="15">
                  <c:v>1.5934744760106847</c:v>
                </c:pt>
                <c:pt idx="16">
                  <c:v>1.6087767206064925</c:v>
                </c:pt>
                <c:pt idx="17">
                  <c:v>1.6240789652022998</c:v>
                </c:pt>
                <c:pt idx="18">
                  <c:v>1.6393812097981073</c:v>
                </c:pt>
                <c:pt idx="19">
                  <c:v>1.6546834543939137</c:v>
                </c:pt>
                <c:pt idx="20">
                  <c:v>1.6699856989897197</c:v>
                </c:pt>
                <c:pt idx="21">
                  <c:v>1.6699856989897197</c:v>
                </c:pt>
              </c:numCache>
            </c:numRef>
          </c:yVal>
          <c:smooth val="0"/>
          <c:extLst>
            <c:ext xmlns:c16="http://schemas.microsoft.com/office/drawing/2014/chart" uri="{C3380CC4-5D6E-409C-BE32-E72D297353CC}">
              <c16:uniqueId val="{00000001-9CCC-413E-AEAE-D8B5AE3592F2}"/>
            </c:ext>
          </c:extLst>
        </c:ser>
        <c:ser>
          <c:idx val="5"/>
          <c:order val="5"/>
          <c:tx>
            <c:strRef>
              <c:f>Correlations!$C$105</c:f>
              <c:strCache>
                <c:ptCount val="1"/>
                <c:pt idx="0">
                  <c:v>LCOH: SMR without CCS (Correlated with NG price)</c:v>
                </c:pt>
              </c:strCache>
            </c:strRef>
          </c:tx>
          <c:spPr>
            <a:ln w="38100" cap="rnd" cmpd="sng" algn="ctr">
              <a:solidFill>
                <a:srgbClr val="63BE7B"/>
              </a:solidFill>
              <a:prstDash val="sysDot"/>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Correlations!$E$105:$Z$105</c:f>
              <c:numCache>
                <c:formatCode>"$"#,##0.00</c:formatCode>
                <c:ptCount val="22"/>
                <c:pt idx="0">
                  <c:v>0.73387639233091773</c:v>
                </c:pt>
                <c:pt idx="1">
                  <c:v>0.73521223619607345</c:v>
                </c:pt>
                <c:pt idx="2">
                  <c:v>0.73654808006122996</c:v>
                </c:pt>
                <c:pt idx="3">
                  <c:v>0.73788392392638646</c:v>
                </c:pt>
                <c:pt idx="4">
                  <c:v>0.73921976779154186</c:v>
                </c:pt>
                <c:pt idx="5">
                  <c:v>0.74055561165669814</c:v>
                </c:pt>
                <c:pt idx="6">
                  <c:v>0.74189145552185454</c:v>
                </c:pt>
                <c:pt idx="7">
                  <c:v>0.74322729938701038</c:v>
                </c:pt>
                <c:pt idx="8">
                  <c:v>0.74456314325216677</c:v>
                </c:pt>
                <c:pt idx="9">
                  <c:v>0.74589898711732272</c:v>
                </c:pt>
                <c:pt idx="10">
                  <c:v>0.74723483098247911</c:v>
                </c:pt>
                <c:pt idx="11">
                  <c:v>0.74857067484763518</c:v>
                </c:pt>
                <c:pt idx="12">
                  <c:v>0.74990651871279124</c:v>
                </c:pt>
                <c:pt idx="13">
                  <c:v>0.75124236257794741</c:v>
                </c:pt>
                <c:pt idx="14">
                  <c:v>0.75257820644310391</c:v>
                </c:pt>
                <c:pt idx="15">
                  <c:v>0.75391405030826009</c:v>
                </c:pt>
                <c:pt idx="16">
                  <c:v>0.75524989417341648</c:v>
                </c:pt>
                <c:pt idx="17">
                  <c:v>0.75658573803857265</c:v>
                </c:pt>
                <c:pt idx="18">
                  <c:v>0.75792158190372838</c:v>
                </c:pt>
                <c:pt idx="19">
                  <c:v>0.75925742576888477</c:v>
                </c:pt>
                <c:pt idx="20">
                  <c:v>0.76059326963404084</c:v>
                </c:pt>
                <c:pt idx="21">
                  <c:v>0.76059326963404084</c:v>
                </c:pt>
              </c:numCache>
            </c:numRef>
          </c:yVal>
          <c:smooth val="0"/>
          <c:extLst>
            <c:ext xmlns:c16="http://schemas.microsoft.com/office/drawing/2014/chart" uri="{C3380CC4-5D6E-409C-BE32-E72D297353CC}">
              <c16:uniqueId val="{00000002-9CCC-413E-AEAE-D8B5AE3592F2}"/>
            </c:ext>
          </c:extLst>
        </c:ser>
        <c:dLbls>
          <c:showLegendKey val="0"/>
          <c:showVal val="0"/>
          <c:showCatName val="0"/>
          <c:showSerName val="0"/>
          <c:showPercent val="0"/>
          <c:showBubbleSize val="0"/>
        </c:dLbls>
        <c:axId val="140291248"/>
        <c:axId val="140297008"/>
        <c:extLst/>
      </c:scatterChart>
      <c:valAx>
        <c:axId val="140291248"/>
        <c:scaling>
          <c:orientation val="minMax"/>
          <c:max val="1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Electricity Costs, $/MWh</a:t>
                </a:r>
              </a:p>
            </c:rich>
          </c:tx>
          <c:layout>
            <c:manualLayout>
              <c:xMode val="edge"/>
              <c:yMode val="edge"/>
              <c:x val="0.66199145330848974"/>
              <c:y val="0.67932103457323112"/>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max val="6"/>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a:solidFill>
                      <a:schemeClr val="tx1"/>
                    </a:solidFill>
                  </a:rPr>
                  <a:t>Levelized Cost of Hydrogen, $/kg</a:t>
                </a:r>
              </a:p>
            </c:rich>
          </c:tx>
          <c:overlay val="0"/>
          <c:spPr>
            <a:noFill/>
            <a:ln>
              <a:noFill/>
            </a:ln>
            <a:effectLst/>
          </c:spPr>
          <c:txPr>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3.2253840597768924E-2"/>
          <c:y val="0.69039418588062063"/>
          <c:w val="0.86863527257018069"/>
          <c:h val="0.30960580233025581"/>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Correlations!$A$109</c:f>
          <c:strCache>
            <c:ptCount val="1"/>
            <c:pt idx="0">
              <c:v>(a) HTSE: Competitiveness with Respect to NG Price</c:v>
            </c:pt>
          </c:strCache>
        </c:strRef>
      </c:tx>
      <c:layout>
        <c:manualLayout>
          <c:xMode val="edge"/>
          <c:yMode val="edge"/>
          <c:x val="0.29315458132358296"/>
          <c:y val="7.1959755030621166E-3"/>
        </c:manualLayout>
      </c:layout>
      <c:overlay val="0"/>
      <c:spPr>
        <a:noFill/>
        <a:ln>
          <a:noFill/>
        </a:ln>
        <a:effectLst/>
      </c:spPr>
      <c:txPr>
        <a:bodyPr rot="0" spcFirstLastPara="1" vertOverflow="ellipsis" vert="horz" wrap="square" anchor="ctr" anchorCtr="1"/>
        <a:lstStyle/>
        <a:p>
          <a:pPr>
            <a:defRPr sz="15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861730703050024"/>
          <c:y val="7.7976540740650691E-2"/>
          <c:w val="0.79771759260621"/>
          <c:h val="0.52393812021996078"/>
        </c:manualLayout>
      </c:layout>
      <c:scatterChart>
        <c:scatterStyle val="lineMarker"/>
        <c:varyColors val="0"/>
        <c:ser>
          <c:idx val="1"/>
          <c:order val="0"/>
          <c:tx>
            <c:strRef>
              <c:f>Correlations!$C$114</c:f>
              <c:strCache>
                <c:ptCount val="1"/>
                <c:pt idx="0">
                  <c:v>NPP-HTSE, PTC=$0/kg</c:v>
                </c:pt>
              </c:strCache>
            </c:strRef>
          </c:tx>
          <c:spPr>
            <a:ln w="63500" cap="rnd" cmpd="dbl">
              <a:solidFill>
                <a:srgbClr val="0070C0"/>
              </a:solidFill>
              <a:prstDash val="solid"/>
              <a:roun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Correlations!$E$114:$Z$114</c:f>
              <c:numCache>
                <c:formatCode>"$"#,##0.00</c:formatCode>
                <c:ptCount val="22"/>
                <c:pt idx="0">
                  <c:v>2.3428135352435153</c:v>
                </c:pt>
                <c:pt idx="1">
                  <c:v>2.3428135352435158</c:v>
                </c:pt>
                <c:pt idx="2">
                  <c:v>2.3428135352435158</c:v>
                </c:pt>
                <c:pt idx="3">
                  <c:v>2.3428135352435158</c:v>
                </c:pt>
                <c:pt idx="4">
                  <c:v>2.3428135352435158</c:v>
                </c:pt>
                <c:pt idx="5">
                  <c:v>2.3428135352435158</c:v>
                </c:pt>
                <c:pt idx="6">
                  <c:v>2.3428135352435158</c:v>
                </c:pt>
                <c:pt idx="7">
                  <c:v>2.3428135352435158</c:v>
                </c:pt>
                <c:pt idx="8">
                  <c:v>2.3428135352435158</c:v>
                </c:pt>
                <c:pt idx="9">
                  <c:v>2.3428135352435158</c:v>
                </c:pt>
                <c:pt idx="10">
                  <c:v>2.3428135352435158</c:v>
                </c:pt>
                <c:pt idx="11">
                  <c:v>2.3428135352435158</c:v>
                </c:pt>
                <c:pt idx="12">
                  <c:v>2.3428135352435158</c:v>
                </c:pt>
                <c:pt idx="13">
                  <c:v>2.3428135352435158</c:v>
                </c:pt>
                <c:pt idx="14">
                  <c:v>2.3428135352435158</c:v>
                </c:pt>
                <c:pt idx="15">
                  <c:v>2.3428135352435158</c:v>
                </c:pt>
                <c:pt idx="16">
                  <c:v>2.3428135352435158</c:v>
                </c:pt>
                <c:pt idx="17">
                  <c:v>2.3428135352435158</c:v>
                </c:pt>
                <c:pt idx="18">
                  <c:v>2.3428135352435158</c:v>
                </c:pt>
                <c:pt idx="19">
                  <c:v>2.3428135352435158</c:v>
                </c:pt>
                <c:pt idx="20">
                  <c:v>2.3428135352435158</c:v>
                </c:pt>
                <c:pt idx="21">
                  <c:v>2.3428135352435153</c:v>
                </c:pt>
              </c:numCache>
            </c:numRef>
          </c:yVal>
          <c:smooth val="0"/>
          <c:extLst>
            <c:ext xmlns:c16="http://schemas.microsoft.com/office/drawing/2014/chart" uri="{C3380CC4-5D6E-409C-BE32-E72D297353CC}">
              <c16:uniqueId val="{00000002-A58F-4AB3-B95C-536C4CBDAC4B}"/>
            </c:ext>
          </c:extLst>
        </c:ser>
        <c:ser>
          <c:idx val="2"/>
          <c:order val="1"/>
          <c:tx>
            <c:strRef>
              <c:f>Correlations!$C$115</c:f>
              <c:strCache>
                <c:ptCount val="1"/>
                <c:pt idx="0">
                  <c:v>NPP-HTSE, PTC=$3/kg</c:v>
                </c:pt>
              </c:strCache>
            </c:strRef>
          </c:tx>
          <c:spPr>
            <a:ln w="38100" cap="rnd" cmpd="dbl">
              <a:solidFill>
                <a:srgbClr val="0070C0"/>
              </a:solidFill>
              <a:prstDash val="dash"/>
              <a:roun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Correlations!$E$115:$Z$115</c:f>
              <c:numCache>
                <c:formatCode>"$"#,##0.00</c:formatCode>
                <c:ptCount val="22"/>
                <c:pt idx="0">
                  <c:v>1.5879390481319045</c:v>
                </c:pt>
                <c:pt idx="1">
                  <c:v>1.5879390481319049</c:v>
                </c:pt>
                <c:pt idx="2">
                  <c:v>1.5879390481319049</c:v>
                </c:pt>
                <c:pt idx="3">
                  <c:v>1.5879390481319049</c:v>
                </c:pt>
                <c:pt idx="4">
                  <c:v>1.5879390481319049</c:v>
                </c:pt>
                <c:pt idx="5">
                  <c:v>1.5879390481319049</c:v>
                </c:pt>
                <c:pt idx="6">
                  <c:v>1.5879390481319049</c:v>
                </c:pt>
                <c:pt idx="7">
                  <c:v>1.5879390481319049</c:v>
                </c:pt>
                <c:pt idx="8">
                  <c:v>1.5879390481319049</c:v>
                </c:pt>
                <c:pt idx="9">
                  <c:v>1.5879390481319049</c:v>
                </c:pt>
                <c:pt idx="10">
                  <c:v>1.5879390481319049</c:v>
                </c:pt>
                <c:pt idx="11">
                  <c:v>1.5879390481319049</c:v>
                </c:pt>
                <c:pt idx="12">
                  <c:v>1.5879390481319049</c:v>
                </c:pt>
                <c:pt idx="13">
                  <c:v>1.5879390481319049</c:v>
                </c:pt>
                <c:pt idx="14">
                  <c:v>1.5879390481319049</c:v>
                </c:pt>
                <c:pt idx="15">
                  <c:v>1.5879390481319049</c:v>
                </c:pt>
                <c:pt idx="16">
                  <c:v>1.5879390481319049</c:v>
                </c:pt>
                <c:pt idx="17">
                  <c:v>1.5879390481319049</c:v>
                </c:pt>
                <c:pt idx="18">
                  <c:v>1.5879390481319049</c:v>
                </c:pt>
                <c:pt idx="19">
                  <c:v>1.5879390481319049</c:v>
                </c:pt>
                <c:pt idx="20">
                  <c:v>1.5879390481319049</c:v>
                </c:pt>
                <c:pt idx="21">
                  <c:v>1.5879390481319045</c:v>
                </c:pt>
              </c:numCache>
            </c:numRef>
          </c:yVal>
          <c:smooth val="0"/>
          <c:extLst>
            <c:ext xmlns:c16="http://schemas.microsoft.com/office/drawing/2014/chart" uri="{C3380CC4-5D6E-409C-BE32-E72D297353CC}">
              <c16:uniqueId val="{00000003-A58F-4AB3-B95C-536C4CBDAC4B}"/>
            </c:ext>
          </c:extLst>
        </c:ser>
        <c:ser>
          <c:idx val="3"/>
          <c:order val="2"/>
          <c:tx>
            <c:strRef>
              <c:f>Correlations!$C$113</c:f>
              <c:strCache>
                <c:ptCount val="1"/>
                <c:pt idx="0">
                  <c:v>Hydrogen Market Price: User-defined (uncorrelated with NG and elec price)</c:v>
                </c:pt>
              </c:strCache>
            </c:strRef>
          </c:tx>
          <c:spPr>
            <a:ln w="25400" cap="rnd" cmpd="sng" algn="ctr">
              <a:solidFill>
                <a:srgbClr val="FF0000"/>
              </a:solidFill>
              <a:prstDash val="solid"/>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Correlations!$E$113:$Z$113</c:f>
              <c:numCache>
                <c:formatCode>"$"#,##0.00</c:formatCode>
                <c:ptCount val="22"/>
                <c:pt idx="0" formatCode="General">
                  <c:v>2.3428135352435149</c:v>
                </c:pt>
                <c:pt idx="1">
                  <c:v>2.3428135352435149</c:v>
                </c:pt>
                <c:pt idx="2">
                  <c:v>2.3428135352435149</c:v>
                </c:pt>
                <c:pt idx="3">
                  <c:v>2.3428135352435149</c:v>
                </c:pt>
                <c:pt idx="4">
                  <c:v>2.3428135352435149</c:v>
                </c:pt>
                <c:pt idx="5">
                  <c:v>2.3428135352435149</c:v>
                </c:pt>
                <c:pt idx="6">
                  <c:v>2.3428135352435149</c:v>
                </c:pt>
                <c:pt idx="7">
                  <c:v>2.3428135352435149</c:v>
                </c:pt>
                <c:pt idx="8">
                  <c:v>2.3428135352435149</c:v>
                </c:pt>
                <c:pt idx="9">
                  <c:v>2.3428135352435149</c:v>
                </c:pt>
                <c:pt idx="10">
                  <c:v>2.3428135352435149</c:v>
                </c:pt>
                <c:pt idx="11">
                  <c:v>2.3428135352435149</c:v>
                </c:pt>
                <c:pt idx="12">
                  <c:v>2.3428135352435149</c:v>
                </c:pt>
                <c:pt idx="13">
                  <c:v>2.3428135352435149</c:v>
                </c:pt>
                <c:pt idx="14">
                  <c:v>2.3428135352435149</c:v>
                </c:pt>
                <c:pt idx="15">
                  <c:v>2.3428135352435149</c:v>
                </c:pt>
                <c:pt idx="16">
                  <c:v>2.3428135352435149</c:v>
                </c:pt>
                <c:pt idx="17">
                  <c:v>2.3428135352435149</c:v>
                </c:pt>
                <c:pt idx="18">
                  <c:v>2.3428135352435149</c:v>
                </c:pt>
                <c:pt idx="19">
                  <c:v>2.3428135352435149</c:v>
                </c:pt>
                <c:pt idx="20">
                  <c:v>2.3428135352435149</c:v>
                </c:pt>
                <c:pt idx="21">
                  <c:v>2.3428135352435149</c:v>
                </c:pt>
              </c:numCache>
            </c:numRef>
          </c:yVal>
          <c:smooth val="0"/>
          <c:extLst>
            <c:ext xmlns:c16="http://schemas.microsoft.com/office/drawing/2014/chart" uri="{C3380CC4-5D6E-409C-BE32-E72D297353CC}">
              <c16:uniqueId val="{00000004-A58F-4AB3-B95C-536C4CBDAC4B}"/>
            </c:ext>
          </c:extLst>
        </c:ser>
        <c:ser>
          <c:idx val="0"/>
          <c:order val="3"/>
          <c:tx>
            <c:strRef>
              <c:f>Correlations!$A$118</c:f>
              <c:strCache>
                <c:ptCount val="1"/>
                <c:pt idx="0">
                  <c:v>Intersection Points</c:v>
                </c:pt>
              </c:strCache>
            </c:strRef>
          </c:tx>
          <c:spPr>
            <a:ln w="25400" cap="rnd">
              <a:noFill/>
              <a:round/>
            </a:ln>
            <a:effectLst/>
          </c:spPr>
          <c:marker>
            <c:symbol val="star"/>
            <c:size val="7"/>
            <c:spPr>
              <a:noFill/>
              <a:ln w="63500">
                <a:solidFill>
                  <a:srgbClr val="7030A0"/>
                </a:solidFill>
              </a:ln>
              <a:effectLst/>
              <a:extLst>
                <a:ext uri="{909E8E84-426E-40DD-AFC4-6F175D3DCCD1}">
                  <a14:hiddenFill xmlns:a14="http://schemas.microsoft.com/office/drawing/2010/main">
                    <a:solidFill>
                      <a:srgbClr val="4472C4"/>
                    </a:solidFill>
                  </a14:hiddenFill>
                </a:ext>
              </a:extLst>
            </c:spPr>
          </c:marker>
          <c:dPt>
            <c:idx val="1"/>
            <c:marker>
              <c:symbol val="star"/>
              <c:size val="7"/>
              <c:spPr>
                <a:noFill/>
                <a:ln w="63500">
                  <a:solidFill>
                    <a:srgbClr val="7030A0"/>
                  </a:solidFill>
                </a:ln>
                <a:effectLst/>
                <a:extLst>
                  <a:ext uri="{909E8E84-426E-40DD-AFC4-6F175D3DCCD1}">
                    <a14:hiddenFill xmlns:a14="http://schemas.microsoft.com/office/drawing/2010/main">
                      <a:noFill/>
                    </a14:hiddenFill>
                  </a:ext>
                </a:extLst>
              </c:spPr>
            </c:marker>
            <c:bubble3D val="0"/>
            <c:extLst>
              <c:ext xmlns:c16="http://schemas.microsoft.com/office/drawing/2014/chart" uri="{C3380CC4-5D6E-409C-BE32-E72D297353CC}">
                <c16:uniqueId val="{00000000-8A37-436E-AC20-A00EA399A27C}"/>
              </c:ext>
            </c:extLst>
          </c:dPt>
          <c:dPt>
            <c:idx val="3"/>
            <c:marker>
              <c:symbol val="star"/>
              <c:size val="7"/>
              <c:spPr>
                <a:noFill/>
                <a:ln w="63500">
                  <a:solidFill>
                    <a:srgbClr val="7030A0"/>
                  </a:solidFill>
                </a:ln>
                <a:effectLst/>
                <a:extLst>
                  <a:ext uri="{909E8E84-426E-40DD-AFC4-6F175D3DCCD1}">
                    <a14:hiddenFill xmlns:a14="http://schemas.microsoft.com/office/drawing/2010/main">
                      <a:noFill/>
                    </a14:hiddenFill>
                  </a:ext>
                </a:extLst>
              </c:spPr>
            </c:marker>
            <c:bubble3D val="0"/>
            <c:extLst>
              <c:ext xmlns:c16="http://schemas.microsoft.com/office/drawing/2014/chart" uri="{C3380CC4-5D6E-409C-BE32-E72D297353CC}">
                <c16:uniqueId val="{00000001-8A37-436E-AC20-A00EA399A27C}"/>
              </c:ext>
            </c:extLst>
          </c:dPt>
          <c:dLbls>
            <c:dLbl>
              <c:idx val="0"/>
              <c:layout>
                <c:manualLayout>
                  <c:x val="-0.12250966565332547"/>
                  <c:y val="-0.15874735421076319"/>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86F-4300-94E2-F59B895FE17A}"/>
                </c:ext>
              </c:extLst>
            </c:dLbl>
            <c:dLbl>
              <c:idx val="1"/>
              <c:layout>
                <c:manualLayout>
                  <c:x val="2.7236486434532543E-2"/>
                  <c:y val="6.1481266978883682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A37-436E-AC20-A00EA399A27C}"/>
                </c:ext>
              </c:extLst>
            </c:dLbl>
            <c:dLbl>
              <c:idx val="2"/>
              <c:layout>
                <c:manualLayout>
                  <c:x val="-8.715687164592241E-2"/>
                  <c:y val="-9.944329531251523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39C-4730-9FAA-6CD03749955C}"/>
                </c:ext>
              </c:extLst>
            </c:dLbl>
            <c:dLbl>
              <c:idx val="3"/>
              <c:layout>
                <c:manualLayout>
                  <c:x val="9.0788288115107169E-3"/>
                  <c:y val="0.14656505724904584"/>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A37-436E-AC20-A00EA399A27C}"/>
                </c:ext>
              </c:extLst>
            </c:dLbl>
            <c:spPr>
              <a:solidFill>
                <a:sysClr val="window" lastClr="FFFFFF">
                  <a:lumMod val="100000"/>
                </a:sysClr>
              </a:solidFill>
              <a:ln w="9525" cap="flat" cmpd="sng" algn="ctr">
                <a:solidFill>
                  <a:sysClr val="windowText" lastClr="000000">
                    <a:lumMod val="100000"/>
                  </a:sysClr>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Correlations!$K$120:$K$123</c:f>
              <c:numCache>
                <c:formatCode>"$"#,##0.00</c:formatCode>
                <c:ptCount val="4"/>
                <c:pt idx="0">
                  <c:v>3.9975253611286874</c:v>
                </c:pt>
                <c:pt idx="1">
                  <c:v>8.2869676758378485</c:v>
                </c:pt>
                <c:pt idx="2">
                  <c:v>8.4155301989030971</c:v>
                </c:pt>
                <c:pt idx="3">
                  <c:v>12.985645736908161</c:v>
                </c:pt>
              </c:numCache>
            </c:numRef>
          </c:xVal>
          <c:yVal>
            <c:numRef>
              <c:f>Correlations!$J$120:$J$123</c:f>
              <c:numCache>
                <c:formatCode>"$"#,##0.00</c:formatCode>
                <c:ptCount val="4"/>
                <c:pt idx="0">
                  <c:v>1.5879390481319045</c:v>
                </c:pt>
                <c:pt idx="1">
                  <c:v>1.5879390481319045</c:v>
                </c:pt>
                <c:pt idx="2">
                  <c:v>2.3428135352435153</c:v>
                </c:pt>
                <c:pt idx="3">
                  <c:v>2.3428135352435153</c:v>
                </c:pt>
              </c:numCache>
            </c:numRef>
          </c:yVal>
          <c:smooth val="0"/>
          <c:extLst xmlns:c15="http://schemas.microsoft.com/office/drawing/2012/chart">
            <c:ext xmlns:c16="http://schemas.microsoft.com/office/drawing/2014/chart" uri="{C3380CC4-5D6E-409C-BE32-E72D297353CC}">
              <c16:uniqueId val="{00000000-D4E4-452B-B25B-22B9CAAD0022}"/>
            </c:ext>
          </c:extLst>
        </c:ser>
        <c:ser>
          <c:idx val="4"/>
          <c:order val="4"/>
          <c:tx>
            <c:strRef>
              <c:f>Correlations!$C$111</c:f>
              <c:strCache>
                <c:ptCount val="1"/>
                <c:pt idx="0">
                  <c:v>LCOH: SMR with CCS (correlated with NG price)</c:v>
                </c:pt>
              </c:strCache>
            </c:strRef>
          </c:tx>
          <c:spPr>
            <a:ln w="38100" cap="rnd" cmpd="sng" algn="ctr">
              <a:solidFill>
                <a:srgbClr val="63BE7B"/>
              </a:solidFill>
              <a:prstDash val="sysDash"/>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Correlations!$E$111:$Z$111</c:f>
              <c:numCache>
                <c:formatCode>"$"#,##0.00</c:formatCode>
                <c:ptCount val="22"/>
                <c:pt idx="0">
                  <c:v>0.9049090340186059</c:v>
                </c:pt>
                <c:pt idx="1">
                  <c:v>1.0757722437320389</c:v>
                </c:pt>
                <c:pt idx="2">
                  <c:v>1.246635453445472</c:v>
                </c:pt>
                <c:pt idx="3">
                  <c:v>1.4174986631589055</c:v>
                </c:pt>
                <c:pt idx="4">
                  <c:v>1.5883618728723379</c:v>
                </c:pt>
                <c:pt idx="5">
                  <c:v>1.7592250825857709</c:v>
                </c:pt>
                <c:pt idx="6">
                  <c:v>1.9300882922992038</c:v>
                </c:pt>
                <c:pt idx="7">
                  <c:v>2.100951502012637</c:v>
                </c:pt>
                <c:pt idx="8">
                  <c:v>2.2718147117260714</c:v>
                </c:pt>
                <c:pt idx="9">
                  <c:v>2.4426779214395036</c:v>
                </c:pt>
                <c:pt idx="10">
                  <c:v>2.6135411311529362</c:v>
                </c:pt>
                <c:pt idx="11">
                  <c:v>2.7844043408663692</c:v>
                </c:pt>
                <c:pt idx="12">
                  <c:v>2.9552675505798023</c:v>
                </c:pt>
                <c:pt idx="13">
                  <c:v>3.1261307602932362</c:v>
                </c:pt>
                <c:pt idx="14">
                  <c:v>3.2969939700066702</c:v>
                </c:pt>
                <c:pt idx="15">
                  <c:v>3.4678571797200992</c:v>
                </c:pt>
                <c:pt idx="16">
                  <c:v>3.6387203894335354</c:v>
                </c:pt>
                <c:pt idx="17">
                  <c:v>3.8095835991469666</c:v>
                </c:pt>
                <c:pt idx="18">
                  <c:v>3.9804468088603997</c:v>
                </c:pt>
                <c:pt idx="19">
                  <c:v>4.1513100185738319</c:v>
                </c:pt>
                <c:pt idx="20">
                  <c:v>4.3221732282872667</c:v>
                </c:pt>
                <c:pt idx="21">
                  <c:v>4.3221732282872667</c:v>
                </c:pt>
              </c:numCache>
            </c:numRef>
          </c:yVal>
          <c:smooth val="0"/>
          <c:extLst>
            <c:ext xmlns:c16="http://schemas.microsoft.com/office/drawing/2014/chart" uri="{C3380CC4-5D6E-409C-BE32-E72D297353CC}">
              <c16:uniqueId val="{00000000-14F0-4897-9F31-6BD709A56266}"/>
            </c:ext>
          </c:extLst>
        </c:ser>
        <c:ser>
          <c:idx val="5"/>
          <c:order val="5"/>
          <c:tx>
            <c:strRef>
              <c:f>Correlations!$C$112</c:f>
              <c:strCache>
                <c:ptCount val="1"/>
                <c:pt idx="0">
                  <c:v>LCOH: SMR without CCS (Correlated with NG price)</c:v>
                </c:pt>
              </c:strCache>
            </c:strRef>
          </c:tx>
          <c:spPr>
            <a:ln w="38100" cap="rnd" cmpd="sng" algn="ctr">
              <a:solidFill>
                <a:srgbClr val="63BE7B"/>
              </a:solidFill>
              <a:prstDash val="sysDot"/>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Correlations!$E$112:$Z$112</c:f>
              <c:numCache>
                <c:formatCode>"$"#,##0.00</c:formatCode>
                <c:ptCount val="22"/>
                <c:pt idx="0">
                  <c:v>0.25658150613771613</c:v>
                </c:pt>
                <c:pt idx="1">
                  <c:v>0.41723828604479879</c:v>
                </c:pt>
                <c:pt idx="2">
                  <c:v>0.57789506595188123</c:v>
                </c:pt>
                <c:pt idx="3">
                  <c:v>0.73855184585896372</c:v>
                </c:pt>
                <c:pt idx="4">
                  <c:v>0.89920862576604699</c:v>
                </c:pt>
                <c:pt idx="5">
                  <c:v>1.0598654056731294</c:v>
                </c:pt>
                <c:pt idx="6">
                  <c:v>1.2205221855802113</c:v>
                </c:pt>
                <c:pt idx="7">
                  <c:v>1.3811789654872935</c:v>
                </c:pt>
                <c:pt idx="8">
                  <c:v>1.5418357453943761</c:v>
                </c:pt>
                <c:pt idx="9">
                  <c:v>1.7024925253014582</c:v>
                </c:pt>
                <c:pt idx="10">
                  <c:v>1.8631493052085417</c:v>
                </c:pt>
                <c:pt idx="11">
                  <c:v>2.023806085115623</c:v>
                </c:pt>
                <c:pt idx="12">
                  <c:v>2.1844628650227076</c:v>
                </c:pt>
                <c:pt idx="13">
                  <c:v>2.34511964492979</c:v>
                </c:pt>
                <c:pt idx="14">
                  <c:v>2.5057764248368715</c:v>
                </c:pt>
                <c:pt idx="15">
                  <c:v>2.6664332047439547</c:v>
                </c:pt>
                <c:pt idx="16">
                  <c:v>2.8270899846510376</c:v>
                </c:pt>
                <c:pt idx="17">
                  <c:v>2.9877467645581191</c:v>
                </c:pt>
                <c:pt idx="18">
                  <c:v>3.1484035444652041</c:v>
                </c:pt>
                <c:pt idx="19">
                  <c:v>3.3090603243722834</c:v>
                </c:pt>
                <c:pt idx="20">
                  <c:v>3.469717104279368</c:v>
                </c:pt>
                <c:pt idx="21">
                  <c:v>3.469717104279368</c:v>
                </c:pt>
              </c:numCache>
            </c:numRef>
          </c:yVal>
          <c:smooth val="0"/>
          <c:extLst>
            <c:ext xmlns:c16="http://schemas.microsoft.com/office/drawing/2014/chart" uri="{C3380CC4-5D6E-409C-BE32-E72D297353CC}">
              <c16:uniqueId val="{00000001-14F0-4897-9F31-6BD709A56266}"/>
            </c:ext>
          </c:extLst>
        </c:ser>
        <c:dLbls>
          <c:showLegendKey val="0"/>
          <c:showVal val="0"/>
          <c:showCatName val="0"/>
          <c:showSerName val="0"/>
          <c:showPercent val="0"/>
          <c:showBubbleSize val="0"/>
        </c:dLbls>
        <c:axId val="140291248"/>
        <c:axId val="140297008"/>
        <c:extLst/>
      </c:scatterChart>
      <c:valAx>
        <c:axId val="140291248"/>
        <c:scaling>
          <c:orientation val="minMax"/>
          <c:max val="2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NG Price, $/MMBtu</a:t>
                </a:r>
              </a:p>
            </c:rich>
          </c:tx>
          <c:layout>
            <c:manualLayout>
              <c:xMode val="edge"/>
              <c:yMode val="edge"/>
              <c:x val="0.71608406110533873"/>
              <c:y val="0.68091122107145119"/>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Levelized Cost of Hydrogen, $/kg</a:t>
                </a:r>
                <a:endParaRPr lang="en-US" sz="1500" b="1">
                  <a:solidFill>
                    <a:schemeClr val="tx1"/>
                  </a:solidFill>
                </a:endParaRPr>
              </a:p>
            </c:rich>
          </c:tx>
          <c:layout>
            <c:manualLayout>
              <c:xMode val="edge"/>
              <c:yMode val="edge"/>
              <c:x val="1.101372307792237E-2"/>
              <c:y val="7.1803732866724992E-2"/>
            </c:manualLayout>
          </c:layout>
          <c:overlay val="0"/>
          <c:spPr>
            <a:noFill/>
            <a:ln>
              <a:noFill/>
            </a:ln>
            <a:effectLst/>
          </c:spPr>
          <c:txPr>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3.6996373230638827E-2"/>
          <c:y val="0.67800213305174706"/>
          <c:w val="0.82227451411916497"/>
          <c:h val="0.3219978870759479"/>
        </c:manualLayout>
      </c:layout>
      <c:overlay val="0"/>
      <c:spPr>
        <a:noFill/>
        <a:ln w="25400" cmpd="sng">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63834362580715"/>
          <c:y val="0.13607920009163768"/>
          <c:w val="0.71710735351492549"/>
          <c:h val="0.79232700614489837"/>
        </c:manualLayout>
      </c:layout>
      <c:barChart>
        <c:barDir val="col"/>
        <c:grouping val="clustered"/>
        <c:varyColors val="0"/>
        <c:ser>
          <c:idx val="1"/>
          <c:order val="0"/>
          <c:tx>
            <c:v> Yearly Cash Flow</c:v>
          </c:tx>
          <c:spPr>
            <a:solidFill>
              <a:srgbClr val="4472C4"/>
            </a:solidFill>
            <a:ln>
              <a:noFill/>
            </a:ln>
            <a:effectLst/>
          </c:spPr>
          <c:invertIfNegative val="1"/>
          <c:val>
            <c:numRef>
              <c:f>Proforma!$C$60:$W$60</c:f>
              <c:numCache>
                <c:formatCode>#,###.0,,\ "M"</c:formatCode>
                <c:ptCount val="21"/>
                <c:pt idx="0">
                  <c:v>-287836782.39431792</c:v>
                </c:pt>
                <c:pt idx="1">
                  <c:v>13266984.40837449</c:v>
                </c:pt>
                <c:pt idx="2">
                  <c:v>182825897.90811622</c:v>
                </c:pt>
                <c:pt idx="3">
                  <c:v>185229117.95476085</c:v>
                </c:pt>
                <c:pt idx="4">
                  <c:v>182193154.7461344</c:v>
                </c:pt>
                <c:pt idx="5">
                  <c:v>179318762.64283419</c:v>
                </c:pt>
                <c:pt idx="6">
                  <c:v>135095445.48820719</c:v>
                </c:pt>
                <c:pt idx="7">
                  <c:v>203666843.20718348</c:v>
                </c:pt>
                <c:pt idx="8">
                  <c:v>199366617.63101617</c:v>
                </c:pt>
                <c:pt idx="9">
                  <c:v>195818233.75961688</c:v>
                </c:pt>
                <c:pt idx="10">
                  <c:v>192684357.88933218</c:v>
                </c:pt>
                <c:pt idx="11">
                  <c:v>5937168.638723202</c:v>
                </c:pt>
                <c:pt idx="12">
                  <c:v>67166852.926014036</c:v>
                </c:pt>
                <c:pt idx="13">
                  <c:v>62498729.868423447</c:v>
                </c:pt>
                <c:pt idx="14">
                  <c:v>58396387.381965533</c:v>
                </c:pt>
                <c:pt idx="15">
                  <c:v>54867488.715549931</c:v>
                </c:pt>
                <c:pt idx="16">
                  <c:v>19532427.772722758</c:v>
                </c:pt>
                <c:pt idx="17">
                  <c:v>73606624.952210143</c:v>
                </c:pt>
                <c:pt idx="18">
                  <c:v>68129111.515397727</c:v>
                </c:pt>
                <c:pt idx="19">
                  <c:v>63495728.39360337</c:v>
                </c:pt>
                <c:pt idx="20">
                  <c:v>124166005.92631423</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E920-4A9E-B9D4-723A13A7F64D}"/>
            </c:ext>
          </c:extLst>
        </c:ser>
        <c:dLbls>
          <c:showLegendKey val="0"/>
          <c:showVal val="0"/>
          <c:showCatName val="0"/>
          <c:showSerName val="0"/>
          <c:showPercent val="0"/>
          <c:showBubbleSize val="0"/>
        </c:dLbls>
        <c:gapWidth val="219"/>
        <c:overlap val="-27"/>
        <c:axId val="1189180687"/>
        <c:axId val="1181841951"/>
      </c:barChart>
      <c:lineChart>
        <c:grouping val="standard"/>
        <c:varyColors val="0"/>
        <c:ser>
          <c:idx val="2"/>
          <c:order val="1"/>
          <c:tx>
            <c:v>Cumulative Cash Flow</c:v>
          </c:tx>
          <c:spPr>
            <a:ln w="28575" cap="rnd">
              <a:solidFill>
                <a:srgbClr val="92D050"/>
              </a:solidFill>
              <a:round/>
            </a:ln>
            <a:effectLst/>
          </c:spPr>
          <c:marker>
            <c:symbol val="circle"/>
            <c:size val="5"/>
            <c:spPr>
              <a:solidFill>
                <a:schemeClr val="accent6">
                  <a:lumMod val="50000"/>
                </a:schemeClr>
              </a:solidFill>
              <a:ln w="9525">
                <a:noFill/>
              </a:ln>
              <a:effectLst/>
            </c:spPr>
          </c:marker>
          <c:val>
            <c:numRef>
              <c:f>Proforma!$C$61:$W$61</c:f>
              <c:numCache>
                <c:formatCode>#,###.0,,\ "M"</c:formatCode>
                <c:ptCount val="21"/>
                <c:pt idx="0">
                  <c:v>-287836782.39431792</c:v>
                </c:pt>
                <c:pt idx="1">
                  <c:v>-274569797.98594344</c:v>
                </c:pt>
                <c:pt idx="2">
                  <c:v>-91743900.077827215</c:v>
                </c:pt>
                <c:pt idx="3">
                  <c:v>93485217.876933634</c:v>
                </c:pt>
                <c:pt idx="4">
                  <c:v>275678372.62306803</c:v>
                </c:pt>
                <c:pt idx="5">
                  <c:v>454997135.26590222</c:v>
                </c:pt>
                <c:pt idx="6">
                  <c:v>590092580.75410938</c:v>
                </c:pt>
                <c:pt idx="7">
                  <c:v>793759423.96129286</c:v>
                </c:pt>
                <c:pt idx="8">
                  <c:v>993126041.592309</c:v>
                </c:pt>
                <c:pt idx="9">
                  <c:v>1188944275.3519258</c:v>
                </c:pt>
                <c:pt idx="10">
                  <c:v>1381628633.2412581</c:v>
                </c:pt>
                <c:pt idx="11">
                  <c:v>1387565801.8799813</c:v>
                </c:pt>
                <c:pt idx="12">
                  <c:v>1454732654.8059952</c:v>
                </c:pt>
                <c:pt idx="13">
                  <c:v>1517231384.6744187</c:v>
                </c:pt>
                <c:pt idx="14">
                  <c:v>1575627772.0563843</c:v>
                </c:pt>
                <c:pt idx="15">
                  <c:v>1630495260.7719343</c:v>
                </c:pt>
                <c:pt idx="16">
                  <c:v>1650027688.544657</c:v>
                </c:pt>
                <c:pt idx="17">
                  <c:v>1723634313.4968672</c:v>
                </c:pt>
                <c:pt idx="18">
                  <c:v>1791763425.012265</c:v>
                </c:pt>
                <c:pt idx="19">
                  <c:v>1855259153.4058683</c:v>
                </c:pt>
                <c:pt idx="20">
                  <c:v>1979425159.3321824</c:v>
                </c:pt>
              </c:numCache>
            </c:numRef>
          </c:val>
          <c:smooth val="0"/>
          <c:extLst>
            <c:ext xmlns:c16="http://schemas.microsoft.com/office/drawing/2014/chart" uri="{C3380CC4-5D6E-409C-BE32-E72D297353CC}">
              <c16:uniqueId val="{00000001-E920-4A9E-B9D4-723A13A7F64D}"/>
            </c:ext>
          </c:extLst>
        </c:ser>
        <c:dLbls>
          <c:showLegendKey val="0"/>
          <c:showVal val="0"/>
          <c:showCatName val="0"/>
          <c:showSerName val="0"/>
          <c:showPercent val="0"/>
          <c:showBubbleSize val="0"/>
        </c:dLbls>
        <c:marker val="1"/>
        <c:smooth val="0"/>
        <c:axId val="1189180687"/>
        <c:axId val="1181841951"/>
      </c:lineChart>
      <c:catAx>
        <c:axId val="118918068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Project Year</a:t>
                </a:r>
              </a:p>
            </c:rich>
          </c:tx>
          <c:layout>
            <c:manualLayout>
              <c:xMode val="edge"/>
              <c:yMode val="edge"/>
              <c:x val="0.86322759770066371"/>
              <c:y val="4.0717342063547782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841951"/>
        <c:crosses val="autoZero"/>
        <c:auto val="1"/>
        <c:lblAlgn val="ctr"/>
        <c:lblOffset val="100"/>
        <c:noMultiLvlLbl val="0"/>
      </c:catAx>
      <c:valAx>
        <c:axId val="11818419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 with IRA</a:t>
                </a:r>
                <a:r>
                  <a:rPr lang="en-US" b="1" baseline="0"/>
                  <a:t> 45V</a:t>
                </a:r>
                <a:r>
                  <a:rPr lang="en-US" b="1"/>
                  <a:t>,</a:t>
                </a:r>
                <a:r>
                  <a:rPr lang="en-US" b="1" baseline="0"/>
                  <a:t> $</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quot;$&quot;#,###.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180687"/>
        <c:crosses val="autoZero"/>
        <c:crossBetween val="between"/>
      </c:valAx>
      <c:spPr>
        <a:noFill/>
        <a:ln>
          <a:noFill/>
        </a:ln>
        <a:effectLst/>
      </c:spPr>
    </c:plotArea>
    <c:legend>
      <c:legendPos val="r"/>
      <c:layout>
        <c:manualLayout>
          <c:xMode val="edge"/>
          <c:yMode val="edge"/>
          <c:x val="0.8410105083046111"/>
          <c:y val="0.22503427175748525"/>
          <c:w val="0.14830236708590022"/>
          <c:h val="0.673115792351947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H2 storage</a:t>
            </a:r>
            <a:r>
              <a:rPr lang="en-US" baseline="0"/>
              <a:t> CAPEX</a:t>
            </a:r>
            <a:endParaRPr lang="en-US"/>
          </a:p>
        </c:rich>
      </c:tx>
      <c:layout>
        <c:manualLayout>
          <c:xMode val="edge"/>
          <c:yMode val="edge"/>
          <c:x val="0.38317210949991393"/>
          <c:y val="2.6181205275492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Correlations!$C$19</c:f>
              <c:strCache>
                <c:ptCount val="1"/>
                <c:pt idx="0">
                  <c:v>Material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Correlations!$D$19:$L$19</c:f>
              <c:numCache>
                <c:formatCode>0.00E+00</c:formatCode>
                <c:ptCount val="9"/>
                <c:pt idx="0">
                  <c:v>95752.161863007001</c:v>
                </c:pt>
                <c:pt idx="1">
                  <c:v>110075.13807462026</c:v>
                </c:pt>
                <c:pt idx="2">
                  <c:v>145469.02916907822</c:v>
                </c:pt>
                <c:pt idx="3">
                  <c:v>192243.57850043179</c:v>
                </c:pt>
                <c:pt idx="4">
                  <c:v>254058.15716069692</c:v>
                </c:pt>
                <c:pt idx="5">
                  <c:v>335748.78143326082</c:v>
                </c:pt>
                <c:pt idx="6">
                  <c:v>586377.16335303406</c:v>
                </c:pt>
                <c:pt idx="7">
                  <c:v>774922.64076978876</c:v>
                </c:pt>
                <c:pt idx="8">
                  <c:v>1024093.5982973864</c:v>
                </c:pt>
              </c:numCache>
            </c:numRef>
          </c:yVal>
          <c:smooth val="0"/>
          <c:extLst>
            <c:ext xmlns:c16="http://schemas.microsoft.com/office/drawing/2014/chart" uri="{C3380CC4-5D6E-409C-BE32-E72D297353CC}">
              <c16:uniqueId val="{00000000-C73D-4DA4-9128-05FAC4C00289}"/>
            </c:ext>
          </c:extLst>
        </c:ser>
        <c:ser>
          <c:idx val="1"/>
          <c:order val="1"/>
          <c:tx>
            <c:strRef>
              <c:f>Correlations!$C$20</c:f>
              <c:strCache>
                <c:ptCount val="1"/>
                <c:pt idx="0">
                  <c:v>Labor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Correlations!$D$20:$L$20</c:f>
              <c:numCache>
                <c:formatCode>0.00E+00</c:formatCode>
                <c:ptCount val="9"/>
                <c:pt idx="0">
                  <c:v>275458.85200000001</c:v>
                </c:pt>
                <c:pt idx="1">
                  <c:v>361065.848</c:v>
                </c:pt>
                <c:pt idx="2">
                  <c:v>531046.40800000005</c:v>
                </c:pt>
                <c:pt idx="3">
                  <c:v>699382.39199999999</c:v>
                </c:pt>
                <c:pt idx="4">
                  <c:v>866073.8</c:v>
                </c:pt>
                <c:pt idx="5">
                  <c:v>1031120.632</c:v>
                </c:pt>
                <c:pt idx="6">
                  <c:v>1356280.568</c:v>
                </c:pt>
                <c:pt idx="7">
                  <c:v>1516393.672</c:v>
                </c:pt>
                <c:pt idx="8">
                  <c:v>1674862.2</c:v>
                </c:pt>
              </c:numCache>
            </c:numRef>
          </c:yVal>
          <c:smooth val="0"/>
          <c:extLst>
            <c:ext xmlns:c16="http://schemas.microsoft.com/office/drawing/2014/chart" uri="{C3380CC4-5D6E-409C-BE32-E72D297353CC}">
              <c16:uniqueId val="{00000001-C73D-4DA4-9128-05FAC4C00289}"/>
            </c:ext>
          </c:extLst>
        </c:ser>
        <c:ser>
          <c:idx val="2"/>
          <c:order val="2"/>
          <c:tx>
            <c:strRef>
              <c:f>Correlations!$C$21</c:f>
              <c:strCache>
                <c:ptCount val="1"/>
                <c:pt idx="0">
                  <c:v>Row</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Correlations!$D$21:$L$21</c:f>
              <c:numCache>
                <c:formatCode>0.00E+00</c:formatCode>
                <c:ptCount val="9"/>
                <c:pt idx="0">
                  <c:v>190743.59999999998</c:v>
                </c:pt>
                <c:pt idx="1">
                  <c:v>199577.79999999993</c:v>
                </c:pt>
                <c:pt idx="2">
                  <c:v>217246.19999999987</c:v>
                </c:pt>
                <c:pt idx="3">
                  <c:v>234914.59999999977</c:v>
                </c:pt>
                <c:pt idx="4">
                  <c:v>252582.99999999965</c:v>
                </c:pt>
                <c:pt idx="5">
                  <c:v>270251.3999999995</c:v>
                </c:pt>
                <c:pt idx="6">
                  <c:v>305588.19999999908</c:v>
                </c:pt>
                <c:pt idx="7">
                  <c:v>323256.59999999881</c:v>
                </c:pt>
                <c:pt idx="8">
                  <c:v>340924.9999999986</c:v>
                </c:pt>
              </c:numCache>
            </c:numRef>
          </c:yVal>
          <c:smooth val="0"/>
          <c:extLst>
            <c:ext xmlns:c16="http://schemas.microsoft.com/office/drawing/2014/chart" uri="{C3380CC4-5D6E-409C-BE32-E72D297353CC}">
              <c16:uniqueId val="{00000009-C73D-4DA4-9128-05FAC4C00289}"/>
            </c:ext>
          </c:extLst>
        </c:ser>
        <c:ser>
          <c:idx val="3"/>
          <c:order val="3"/>
          <c:tx>
            <c:strRef>
              <c:f>Correlations!$C$22</c:f>
              <c:strCache>
                <c:ptCount val="1"/>
                <c:pt idx="0">
                  <c:v>Miscellaneous Costs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Correlations!$D$22:$L$22</c:f>
              <c:numCache>
                <c:formatCode>0.00E+00</c:formatCode>
                <c:ptCount val="9"/>
                <c:pt idx="0">
                  <c:v>207923.20712931256</c:v>
                </c:pt>
                <c:pt idx="1">
                  <c:v>248165.95084760946</c:v>
                </c:pt>
                <c:pt idx="2">
                  <c:v>330691.80575255892</c:v>
                </c:pt>
                <c:pt idx="3">
                  <c:v>416820.01108515967</c:v>
                </c:pt>
                <c:pt idx="4">
                  <c:v>507904.53414945764</c:v>
                </c:pt>
                <c:pt idx="5">
                  <c:v>605734.70097030629</c:v>
                </c:pt>
                <c:pt idx="6">
                  <c:v>831850.99460062222</c:v>
                </c:pt>
                <c:pt idx="7">
                  <c:v>967391.97772482131</c:v>
                </c:pt>
                <c:pt idx="8">
                  <c:v>1124755.8953700324</c:v>
                </c:pt>
              </c:numCache>
            </c:numRef>
          </c:yVal>
          <c:smooth val="0"/>
          <c:extLst>
            <c:ext xmlns:c16="http://schemas.microsoft.com/office/drawing/2014/chart" uri="{C3380CC4-5D6E-409C-BE32-E72D297353CC}">
              <c16:uniqueId val="{0000000A-C73D-4DA4-9128-05FAC4C00289}"/>
            </c:ext>
          </c:extLst>
        </c:ser>
        <c:ser>
          <c:idx val="4"/>
          <c:order val="4"/>
          <c:tx>
            <c:strRef>
              <c:f>Correlations!$C$23</c:f>
              <c:strCache>
                <c:ptCount val="1"/>
                <c:pt idx="0">
                  <c:v>Total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Correlations!$D$23:$L$23</c:f>
              <c:numCache>
                <c:formatCode>0.00E+00</c:formatCode>
                <c:ptCount val="9"/>
                <c:pt idx="0">
                  <c:v>769877.8209923195</c:v>
                </c:pt>
                <c:pt idx="1">
                  <c:v>918884.73692222964</c:v>
                </c:pt>
                <c:pt idx="2">
                  <c:v>1224453.4429216371</c:v>
                </c:pt>
                <c:pt idx="3">
                  <c:v>1543360.5815855912</c:v>
                </c:pt>
                <c:pt idx="4">
                  <c:v>1880619.4913101541</c:v>
                </c:pt>
                <c:pt idx="5">
                  <c:v>2242855.5144035667</c:v>
                </c:pt>
                <c:pt idx="6">
                  <c:v>3080096.9259536555</c:v>
                </c:pt>
                <c:pt idx="7">
                  <c:v>3581964.8904946088</c:v>
                </c:pt>
                <c:pt idx="8">
                  <c:v>4164636.6936674174</c:v>
                </c:pt>
              </c:numCache>
            </c:numRef>
          </c:yVal>
          <c:smooth val="0"/>
          <c:extLst>
            <c:ext xmlns:c16="http://schemas.microsoft.com/office/drawing/2014/chart" uri="{C3380CC4-5D6E-409C-BE32-E72D297353CC}">
              <c16:uniqueId val="{0000000B-C73D-4DA4-9128-05FAC4C00289}"/>
            </c:ext>
          </c:extLst>
        </c:ser>
        <c:dLbls>
          <c:showLegendKey val="0"/>
          <c:showVal val="0"/>
          <c:showCatName val="0"/>
          <c:showSerName val="0"/>
          <c:showPercent val="0"/>
          <c:showBubbleSize val="0"/>
        </c:dLbls>
        <c:axId val="229802799"/>
        <c:axId val="228558431"/>
      </c:scatterChart>
      <c:valAx>
        <c:axId val="229802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558431"/>
        <c:crosses val="autoZero"/>
        <c:crossBetween val="midCat"/>
      </c:valAx>
      <c:valAx>
        <c:axId val="228558431"/>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8027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FOAK</a:t>
            </a:r>
          </a:p>
        </c:rich>
      </c:tx>
      <c:layout>
        <c:manualLayout>
          <c:xMode val="edge"/>
          <c:yMode val="edge"/>
          <c:x val="4.0308379080575218E-2"/>
          <c:y val="0.7654331534780952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408013119950646"/>
          <c:y val="8.2414113321088125E-2"/>
          <c:w val="0.73957126469074586"/>
          <c:h val="0.63580676913165879"/>
        </c:manualLayout>
      </c:layout>
      <c:scatterChart>
        <c:scatterStyle val="lineMarker"/>
        <c:varyColors val="0"/>
        <c:ser>
          <c:idx val="1"/>
          <c:order val="0"/>
          <c:spPr>
            <a:ln w="25400" cap="rnd">
              <a:noFill/>
              <a:round/>
            </a:ln>
            <a:effectLst/>
          </c:spPr>
          <c:marker>
            <c:symbol val="circle"/>
            <c:size val="5"/>
            <c:spPr>
              <a:solidFill>
                <a:schemeClr val="accent2"/>
              </a:solidFill>
              <a:ln w="9525">
                <a:noFill/>
              </a:ln>
              <a:effectLst/>
            </c:spPr>
          </c:marker>
          <c:trendline>
            <c:spPr>
              <a:ln w="19050" cap="rnd">
                <a:solidFill>
                  <a:schemeClr val="accent2"/>
                </a:solidFill>
                <a:prstDash val="sysDot"/>
              </a:ln>
              <a:effectLst/>
            </c:spPr>
            <c:trendlineType val="power"/>
            <c:dispRSqr val="1"/>
            <c:dispEq val="1"/>
            <c:trendlineLbl>
              <c:layout>
                <c:manualLayout>
                  <c:x val="-6.6914478053021476E-2"/>
                  <c:y val="0.120817269807742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Correlations!$F$3:$L$3</c:f>
              <c:numCache>
                <c:formatCode>General</c:formatCode>
                <c:ptCount val="7"/>
                <c:pt idx="0">
                  <c:v>25</c:v>
                </c:pt>
                <c:pt idx="1">
                  <c:v>50</c:v>
                </c:pt>
                <c:pt idx="2">
                  <c:v>100</c:v>
                </c:pt>
                <c:pt idx="3">
                  <c:v>200</c:v>
                </c:pt>
                <c:pt idx="4">
                  <c:v>400</c:v>
                </c:pt>
                <c:pt idx="5">
                  <c:v>800</c:v>
                </c:pt>
                <c:pt idx="6">
                  <c:v>1600</c:v>
                </c:pt>
              </c:numCache>
            </c:numRef>
          </c:xVal>
          <c:yVal>
            <c:numRef>
              <c:f>Correlations!$F$6:$L$6</c:f>
              <c:numCache>
                <c:formatCode>"$"#,##0</c:formatCode>
                <c:ptCount val="7"/>
                <c:pt idx="0">
                  <c:v>1516.0247057478216</c:v>
                </c:pt>
                <c:pt idx="1">
                  <c:v>1340.8961722294393</c:v>
                </c:pt>
                <c:pt idx="2">
                  <c:v>1212.916826068345</c:v>
                </c:pt>
                <c:pt idx="3">
                  <c:v>1115.2746105842957</c:v>
                </c:pt>
                <c:pt idx="4">
                  <c:v>1037.0312867233592</c:v>
                </c:pt>
                <c:pt idx="5">
                  <c:v>971.97004806665132</c:v>
                </c:pt>
                <c:pt idx="6">
                  <c:v>916.35006859124519</c:v>
                </c:pt>
              </c:numCache>
            </c:numRef>
          </c:yVal>
          <c:smooth val="0"/>
          <c:extLst>
            <c:ext xmlns:c16="http://schemas.microsoft.com/office/drawing/2014/chart" uri="{C3380CC4-5D6E-409C-BE32-E72D297353CC}">
              <c16:uniqueId val="{00000001-532F-431B-93AC-4C414BA1E178}"/>
            </c:ext>
          </c:extLst>
        </c:ser>
        <c:dLbls>
          <c:showLegendKey val="0"/>
          <c:showVal val="0"/>
          <c:showCatName val="0"/>
          <c:showSerName val="0"/>
          <c:showPercent val="0"/>
          <c:showBubbleSize val="0"/>
        </c:dLbls>
        <c:axId val="610677151"/>
        <c:axId val="1110006751"/>
      </c:scatterChart>
      <c:valAx>
        <c:axId val="610677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Plant Capacity</a:t>
                </a:r>
                <a:r>
                  <a:rPr lang="en-US" baseline="0"/>
                  <a:t> (MW-dc)</a:t>
                </a:r>
                <a:endParaRPr lang="en-US"/>
              </a:p>
            </c:rich>
          </c:tx>
          <c:layout>
            <c:manualLayout>
              <c:xMode val="edge"/>
              <c:yMode val="edge"/>
              <c:x val="0.71521203413717271"/>
              <c:y val="0.8708504062714267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006751"/>
        <c:crosses val="autoZero"/>
        <c:crossBetween val="midCat"/>
      </c:valAx>
      <c:valAx>
        <c:axId val="1110006751"/>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DCC, $/KW-dc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677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309699408109874"/>
          <c:y val="6.6711869349664624E-2"/>
          <c:w val="0.66018307086614181"/>
          <c:h val="0.60818522684664411"/>
        </c:manualLayout>
      </c:layout>
      <c:scatterChart>
        <c:scatterStyle val="lineMarker"/>
        <c:varyColors val="0"/>
        <c:ser>
          <c:idx val="1"/>
          <c:order val="0"/>
          <c:tx>
            <c:strRef>
              <c:f>Correlations!$C$104</c:f>
              <c:strCache>
                <c:ptCount val="1"/>
                <c:pt idx="0">
                  <c:v>LCOH: SMR with CCS (correlated with NG price)</c:v>
                </c:pt>
              </c:strCache>
            </c:strRef>
          </c:tx>
          <c:spPr>
            <a:ln w="19050" cap="rnd">
              <a:solidFill>
                <a:schemeClr val="accent2"/>
              </a:solidFill>
              <a:round/>
            </a:ln>
            <a:effectLst/>
          </c:spPr>
          <c:marker>
            <c:symbol val="square"/>
            <c:size val="7"/>
            <c:spPr>
              <a:noFill/>
              <a:ln w="9525">
                <a:solidFill>
                  <a:schemeClr val="bg1">
                    <a:lumMod val="50000"/>
                  </a:schemeClr>
                </a:solidFill>
              </a:ln>
              <a:effectLst/>
            </c:spPr>
          </c:marker>
          <c:trendline>
            <c:spPr>
              <a:ln w="19050" cap="rnd">
                <a:solidFill>
                  <a:schemeClr val="accent2"/>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Correlations!$F$102:$T$102</c:f>
              <c:numCache>
                <c:formatCode>"$"#,##0.00</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xVal>
          <c:yVal>
            <c:numRef>
              <c:f>Correlations!$F$104:$T$104</c:f>
              <c:numCache>
                <c:formatCode>"$"#,##0.00</c:formatCode>
                <c:ptCount val="15"/>
                <c:pt idx="0">
                  <c:v>1.379243051669387</c:v>
                </c:pt>
                <c:pt idx="1">
                  <c:v>1.3945452962651945</c:v>
                </c:pt>
                <c:pt idx="2">
                  <c:v>1.4098475408610016</c:v>
                </c:pt>
                <c:pt idx="3">
                  <c:v>1.4251497854568078</c:v>
                </c:pt>
                <c:pt idx="4">
                  <c:v>1.4404520300526156</c:v>
                </c:pt>
                <c:pt idx="5">
                  <c:v>1.4557542746484229</c:v>
                </c:pt>
                <c:pt idx="6">
                  <c:v>1.4710565192442291</c:v>
                </c:pt>
                <c:pt idx="7">
                  <c:v>1.4863587638400366</c:v>
                </c:pt>
                <c:pt idx="8">
                  <c:v>1.5016610084358439</c:v>
                </c:pt>
                <c:pt idx="9">
                  <c:v>1.5169632530316506</c:v>
                </c:pt>
                <c:pt idx="10">
                  <c:v>1.5322654976274572</c:v>
                </c:pt>
                <c:pt idx="11">
                  <c:v>1.5475677422232641</c:v>
                </c:pt>
                <c:pt idx="12">
                  <c:v>1.5628699868190714</c:v>
                </c:pt>
                <c:pt idx="13">
                  <c:v>1.5781722314148785</c:v>
                </c:pt>
                <c:pt idx="14">
                  <c:v>1.5934744760106847</c:v>
                </c:pt>
              </c:numCache>
            </c:numRef>
          </c:yVal>
          <c:smooth val="0"/>
          <c:extLst>
            <c:ext xmlns:c16="http://schemas.microsoft.com/office/drawing/2014/chart" uri="{C3380CC4-5D6E-409C-BE32-E72D297353CC}">
              <c16:uniqueId val="{00000000-AFDE-4384-B090-A29E666CE75E}"/>
            </c:ext>
          </c:extLst>
        </c:ser>
        <c:ser>
          <c:idx val="3"/>
          <c:order val="1"/>
          <c:tx>
            <c:strRef>
              <c:f>Correlations!$C$105</c:f>
              <c:strCache>
                <c:ptCount val="1"/>
                <c:pt idx="0">
                  <c:v>LCOH: SMR without CCS (Correlated with NG price)</c:v>
                </c:pt>
              </c:strCache>
            </c:strRef>
          </c:tx>
          <c:spPr>
            <a:ln w="19050" cap="rnd">
              <a:solidFill>
                <a:schemeClr val="accent4"/>
              </a:solidFill>
              <a:round/>
            </a:ln>
            <a:effectLst/>
          </c:spPr>
          <c:marker>
            <c:symbol val="triangle"/>
            <c:size val="7"/>
            <c:spPr>
              <a:noFill/>
              <a:ln w="9525">
                <a:solidFill>
                  <a:srgbClr val="7030A0"/>
                </a:solidFill>
              </a:ln>
              <a:effectLst/>
            </c:spPr>
          </c:marker>
          <c:trendline>
            <c:spPr>
              <a:ln w="19050" cap="rnd">
                <a:solidFill>
                  <a:schemeClr val="accent4"/>
                </a:solidFill>
                <a:prstDash val="sysDot"/>
              </a:ln>
              <a:effectLst/>
            </c:spPr>
            <c:trendlineType val="linear"/>
            <c:dispRSqr val="1"/>
            <c:dispEq val="1"/>
            <c:trendlineLbl>
              <c:layout>
                <c:manualLayout>
                  <c:x val="0.18435595769827018"/>
                  <c:y val="9.842082239720034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Correlations!$F$102:$T$102</c:f>
              <c:numCache>
                <c:formatCode>"$"#,##0.00</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xVal>
          <c:yVal>
            <c:numRef>
              <c:f>Correlations!$F$105:$T$105</c:f>
              <c:numCache>
                <c:formatCode>"$"#,##0.00</c:formatCode>
                <c:ptCount val="15"/>
                <c:pt idx="0">
                  <c:v>0.73521223619607345</c:v>
                </c:pt>
                <c:pt idx="1">
                  <c:v>0.73654808006122996</c:v>
                </c:pt>
                <c:pt idx="2">
                  <c:v>0.73788392392638646</c:v>
                </c:pt>
                <c:pt idx="3">
                  <c:v>0.73921976779154186</c:v>
                </c:pt>
                <c:pt idx="4">
                  <c:v>0.74055561165669814</c:v>
                </c:pt>
                <c:pt idx="5">
                  <c:v>0.74189145552185454</c:v>
                </c:pt>
                <c:pt idx="6">
                  <c:v>0.74322729938701038</c:v>
                </c:pt>
                <c:pt idx="7">
                  <c:v>0.74456314325216677</c:v>
                </c:pt>
                <c:pt idx="8">
                  <c:v>0.74589898711732272</c:v>
                </c:pt>
                <c:pt idx="9">
                  <c:v>0.74723483098247911</c:v>
                </c:pt>
                <c:pt idx="10">
                  <c:v>0.74857067484763518</c:v>
                </c:pt>
                <c:pt idx="11">
                  <c:v>0.74990651871279124</c:v>
                </c:pt>
                <c:pt idx="12">
                  <c:v>0.75124236257794741</c:v>
                </c:pt>
                <c:pt idx="13">
                  <c:v>0.75257820644310391</c:v>
                </c:pt>
                <c:pt idx="14">
                  <c:v>0.75391405030826009</c:v>
                </c:pt>
              </c:numCache>
            </c:numRef>
          </c:yVal>
          <c:smooth val="0"/>
          <c:extLst xmlns:c15="http://schemas.microsoft.com/office/drawing/2012/chart">
            <c:ext xmlns:c16="http://schemas.microsoft.com/office/drawing/2014/chart" uri="{C3380CC4-5D6E-409C-BE32-E72D297353CC}">
              <c16:uniqueId val="{00000002-DA4C-4B49-93D8-BC85BB382B43}"/>
            </c:ext>
          </c:extLst>
        </c:ser>
        <c:dLbls>
          <c:showLegendKey val="0"/>
          <c:showVal val="0"/>
          <c:showCatName val="0"/>
          <c:showSerName val="0"/>
          <c:showPercent val="0"/>
          <c:showBubbleSize val="0"/>
        </c:dLbls>
        <c:axId val="140291248"/>
        <c:axId val="140297008"/>
        <c:extLst/>
      </c:scatterChart>
      <c:valAx>
        <c:axId val="140291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r>
                  <a:rPr lang="en-US" sz="1500" b="1"/>
                  <a:t>Natural Gas Price,</a:t>
                </a:r>
                <a:r>
                  <a:rPr lang="en-US" sz="1500" b="1" baseline="0"/>
                  <a:t> $/ MMBtu</a:t>
                </a:r>
                <a:endParaRPr lang="en-US" sz="1500" b="1"/>
              </a:p>
            </c:rich>
          </c:tx>
          <c:layout>
            <c:manualLayout>
              <c:xMode val="edge"/>
              <c:yMode val="edge"/>
              <c:x val="0.51542627895197313"/>
              <c:y val="0.59307524059492567"/>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majorUnit val="5"/>
      </c:valAx>
      <c:valAx>
        <c:axId val="140297008"/>
        <c:scaling>
          <c:orientation val="minMax"/>
        </c:scaling>
        <c:delete val="0"/>
        <c:axPos val="l"/>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baseline="0">
                    <a:solidFill>
                      <a:sysClr val="windowText" lastClr="000000">
                        <a:lumMod val="65000"/>
                        <a:lumOff val="35000"/>
                      </a:sysClr>
                    </a:solidFill>
                    <a:latin typeface="+mn-lt"/>
                    <a:ea typeface="+mn-ea"/>
                    <a:cs typeface="+mn-cs"/>
                  </a:defRPr>
                </a:pPr>
                <a:r>
                  <a:rPr lang="en-US" sz="1500" b="1" i="0" u="none" strike="noStrike" kern="1200" baseline="0">
                    <a:solidFill>
                      <a:sysClr val="windowText" lastClr="000000">
                        <a:lumMod val="65000"/>
                        <a:lumOff val="35000"/>
                      </a:sysClr>
                    </a:solidFill>
                  </a:rPr>
                  <a:t>LCOH, $/kg</a:t>
                </a: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baseline="0">
                  <a:solidFill>
                    <a:sysClr val="windowText" lastClr="000000">
                      <a:lumMod val="65000"/>
                      <a:lumOff val="35000"/>
                    </a:sys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6.1111111111111109E-2"/>
          <c:y val="0.73507374078240217"/>
          <c:w val="0.89999995547810063"/>
          <c:h val="0.2649264056714411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885534342495126"/>
          <c:y val="7.638806867891515E-2"/>
          <c:w val="0.72488209295840589"/>
          <c:h val="0.56322794481694072"/>
        </c:manualLayout>
      </c:layout>
      <c:scatterChart>
        <c:scatterStyle val="lineMarker"/>
        <c:varyColors val="0"/>
        <c:ser>
          <c:idx val="2"/>
          <c:order val="0"/>
          <c:tx>
            <c:v>Raw data (2023)</c:v>
          </c:tx>
          <c:spPr>
            <a:ln w="25400" cap="rnd">
              <a:noFill/>
              <a:round/>
            </a:ln>
            <a:effectLst/>
          </c:spPr>
          <c:marker>
            <c:symbol val="triangle"/>
            <c:size val="5"/>
            <c:spPr>
              <a:solidFill>
                <a:srgbClr val="FFC000"/>
              </a:solidFill>
              <a:ln w="9525">
                <a:noFill/>
              </a:ln>
              <a:effectLst/>
            </c:spPr>
          </c:marker>
          <c:trendline>
            <c:spPr>
              <a:ln w="19050" cap="rnd">
                <a:solidFill>
                  <a:schemeClr val="accent3"/>
                </a:solidFill>
                <a:prstDash val="sysDot"/>
              </a:ln>
              <a:effectLst/>
            </c:spPr>
            <c:trendlineType val="linear"/>
            <c:dispRSqr val="1"/>
            <c:dispEq val="1"/>
            <c:trendlineLbl>
              <c:layout>
                <c:manualLayout>
                  <c:x val="1.1418491286060519E-3"/>
                  <c:y val="-4.651606049243844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trendline>
            <c:spPr>
              <a:ln w="19050" cap="rnd">
                <a:solidFill>
                  <a:schemeClr val="accent3"/>
                </a:solidFill>
                <a:prstDash val="sysDot"/>
              </a:ln>
              <a:effectLst/>
            </c:spPr>
            <c:trendlineType val="log"/>
            <c:dispRSqr val="1"/>
            <c:dispEq val="1"/>
            <c:trendlineLbl>
              <c:layout>
                <c:manualLayout>
                  <c:x val="0.24085405650035621"/>
                  <c:y val="0.1254052618422697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Correlations!$G$56:$AI$56</c:f>
              <c:numCache>
                <c:formatCode>"$"#,##0.00</c:formatCode>
                <c:ptCount val="29"/>
                <c:pt idx="0">
                  <c:v>7.33</c:v>
                </c:pt>
                <c:pt idx="1">
                  <c:v>6.27</c:v>
                </c:pt>
                <c:pt idx="2">
                  <c:v>5.1604200000000002</c:v>
                </c:pt>
                <c:pt idx="3">
                  <c:v>4.5920259999999997</c:v>
                </c:pt>
                <c:pt idx="4">
                  <c:v>4.1592359999999999</c:v>
                </c:pt>
                <c:pt idx="5">
                  <c:v>3.9202270000000001</c:v>
                </c:pt>
                <c:pt idx="6">
                  <c:v>3.8369740000000001</c:v>
                </c:pt>
                <c:pt idx="7">
                  <c:v>3.8520029999999998</c:v>
                </c:pt>
                <c:pt idx="8">
                  <c:v>3.9104890000000001</c:v>
                </c:pt>
                <c:pt idx="9">
                  <c:v>4.015809</c:v>
                </c:pt>
                <c:pt idx="10">
                  <c:v>4.1266280000000002</c:v>
                </c:pt>
                <c:pt idx="11">
                  <c:v>4.2846310000000001</c:v>
                </c:pt>
                <c:pt idx="12">
                  <c:v>4.4108970000000003</c:v>
                </c:pt>
                <c:pt idx="13">
                  <c:v>4.5220779999999996</c:v>
                </c:pt>
                <c:pt idx="14">
                  <c:v>4.5410050000000002</c:v>
                </c:pt>
                <c:pt idx="15">
                  <c:v>4.5855629999999996</c:v>
                </c:pt>
                <c:pt idx="16">
                  <c:v>4.709835</c:v>
                </c:pt>
                <c:pt idx="17">
                  <c:v>4.6547780000000003</c:v>
                </c:pt>
                <c:pt idx="18">
                  <c:v>4.7746180000000003</c:v>
                </c:pt>
                <c:pt idx="19">
                  <c:v>4.8514379999999999</c:v>
                </c:pt>
                <c:pt idx="20">
                  <c:v>4.8454240000000004</c:v>
                </c:pt>
                <c:pt idx="21">
                  <c:v>4.7942140000000002</c:v>
                </c:pt>
                <c:pt idx="22">
                  <c:v>4.7445890000000004</c:v>
                </c:pt>
                <c:pt idx="23">
                  <c:v>4.7421860000000002</c:v>
                </c:pt>
                <c:pt idx="24">
                  <c:v>4.7064450000000004</c:v>
                </c:pt>
                <c:pt idx="25">
                  <c:v>4.6718780000000004</c:v>
                </c:pt>
                <c:pt idx="26">
                  <c:v>4.6380869999999996</c:v>
                </c:pt>
                <c:pt idx="27">
                  <c:v>4.5964590000000003</c:v>
                </c:pt>
                <c:pt idx="28">
                  <c:v>4.5926539999999996</c:v>
                </c:pt>
              </c:numCache>
            </c:numRef>
          </c:xVal>
          <c:yVal>
            <c:numRef>
              <c:f>Correlations!$G$55:$AI$55</c:f>
              <c:numCache>
                <c:formatCode>"$"#,##0.00</c:formatCode>
                <c:ptCount val="29"/>
                <c:pt idx="0">
                  <c:v>83.324518632003844</c:v>
                </c:pt>
                <c:pt idx="1">
                  <c:v>81.789054529448478</c:v>
                </c:pt>
                <c:pt idx="2">
                  <c:v>75.630369432663073</c:v>
                </c:pt>
                <c:pt idx="3">
                  <c:v>71.509821852042677</c:v>
                </c:pt>
                <c:pt idx="4">
                  <c:v>68.770574365938629</c:v>
                </c:pt>
                <c:pt idx="5">
                  <c:v>66.848831853032195</c:v>
                </c:pt>
                <c:pt idx="6">
                  <c:v>65.609282392321305</c:v>
                </c:pt>
                <c:pt idx="7">
                  <c:v>64.946081325003149</c:v>
                </c:pt>
                <c:pt idx="8">
                  <c:v>64.777692095089591</c:v>
                </c:pt>
                <c:pt idx="9">
                  <c:v>64.753571660109657</c:v>
                </c:pt>
                <c:pt idx="10">
                  <c:v>64.795049663733366</c:v>
                </c:pt>
                <c:pt idx="11">
                  <c:v>65.894162165482086</c:v>
                </c:pt>
                <c:pt idx="12">
                  <c:v>66.225525555240878</c:v>
                </c:pt>
                <c:pt idx="13">
                  <c:v>66.051458520290296</c:v>
                </c:pt>
                <c:pt idx="14">
                  <c:v>66.471779875866261</c:v>
                </c:pt>
                <c:pt idx="15">
                  <c:v>67.024816512039735</c:v>
                </c:pt>
                <c:pt idx="16">
                  <c:v>67.934811018490393</c:v>
                </c:pt>
                <c:pt idx="17">
                  <c:v>68.717317646577101</c:v>
                </c:pt>
                <c:pt idx="18">
                  <c:v>69.276192458482754</c:v>
                </c:pt>
                <c:pt idx="19">
                  <c:v>69.73815901266245</c:v>
                </c:pt>
                <c:pt idx="20">
                  <c:v>69.769223157528373</c:v>
                </c:pt>
                <c:pt idx="21">
                  <c:v>69.638480095267013</c:v>
                </c:pt>
                <c:pt idx="22">
                  <c:v>69.613731826076261</c:v>
                </c:pt>
                <c:pt idx="23">
                  <c:v>69.446628973866396</c:v>
                </c:pt>
                <c:pt idx="24">
                  <c:v>69.01487694108252</c:v>
                </c:pt>
                <c:pt idx="25">
                  <c:v>68.567845334407011</c:v>
                </c:pt>
                <c:pt idx="26">
                  <c:v>68.321928815884192</c:v>
                </c:pt>
                <c:pt idx="27">
                  <c:v>67.882253788331155</c:v>
                </c:pt>
                <c:pt idx="28">
                  <c:v>67.246595534870394</c:v>
                </c:pt>
              </c:numCache>
            </c:numRef>
          </c:yVal>
          <c:smooth val="0"/>
          <c:extLst>
            <c:ext xmlns:c16="http://schemas.microsoft.com/office/drawing/2014/chart" uri="{C3380CC4-5D6E-409C-BE32-E72D297353CC}">
              <c16:uniqueId val="{00000000-48A8-4900-A03D-102129229722}"/>
            </c:ext>
          </c:extLst>
        </c:ser>
        <c:ser>
          <c:idx val="3"/>
          <c:order val="1"/>
          <c:tx>
            <c:strRef>
              <c:f>Correlations!$C$57</c:f>
              <c:strCache>
                <c:ptCount val="1"/>
                <c:pt idx="0">
                  <c:v>Correlation (AEO 2023)</c:v>
                </c:pt>
              </c:strCache>
            </c:strRef>
          </c:tx>
          <c:spPr>
            <a:ln w="19050" cap="rnd">
              <a:solidFill>
                <a:srgbClr val="0070C0"/>
              </a:solidFill>
              <a:round/>
            </a:ln>
            <a:effectLst/>
          </c:spPr>
          <c:marker>
            <c:symbol val="none"/>
          </c:marker>
          <c:xVal>
            <c:numRef>
              <c:f>Correlations!$G$56:$AI$56</c:f>
              <c:numCache>
                <c:formatCode>"$"#,##0.00</c:formatCode>
                <c:ptCount val="29"/>
                <c:pt idx="0">
                  <c:v>7.33</c:v>
                </c:pt>
                <c:pt idx="1">
                  <c:v>6.27</c:v>
                </c:pt>
                <c:pt idx="2">
                  <c:v>5.1604200000000002</c:v>
                </c:pt>
                <c:pt idx="3">
                  <c:v>4.5920259999999997</c:v>
                </c:pt>
                <c:pt idx="4">
                  <c:v>4.1592359999999999</c:v>
                </c:pt>
                <c:pt idx="5">
                  <c:v>3.9202270000000001</c:v>
                </c:pt>
                <c:pt idx="6">
                  <c:v>3.8369740000000001</c:v>
                </c:pt>
                <c:pt idx="7">
                  <c:v>3.8520029999999998</c:v>
                </c:pt>
                <c:pt idx="8">
                  <c:v>3.9104890000000001</c:v>
                </c:pt>
                <c:pt idx="9">
                  <c:v>4.015809</c:v>
                </c:pt>
                <c:pt idx="10">
                  <c:v>4.1266280000000002</c:v>
                </c:pt>
                <c:pt idx="11">
                  <c:v>4.2846310000000001</c:v>
                </c:pt>
                <c:pt idx="12">
                  <c:v>4.4108970000000003</c:v>
                </c:pt>
                <c:pt idx="13">
                  <c:v>4.5220779999999996</c:v>
                </c:pt>
                <c:pt idx="14">
                  <c:v>4.5410050000000002</c:v>
                </c:pt>
                <c:pt idx="15">
                  <c:v>4.5855629999999996</c:v>
                </c:pt>
                <c:pt idx="16">
                  <c:v>4.709835</c:v>
                </c:pt>
                <c:pt idx="17">
                  <c:v>4.6547780000000003</c:v>
                </c:pt>
                <c:pt idx="18">
                  <c:v>4.7746180000000003</c:v>
                </c:pt>
                <c:pt idx="19">
                  <c:v>4.8514379999999999</c:v>
                </c:pt>
                <c:pt idx="20">
                  <c:v>4.8454240000000004</c:v>
                </c:pt>
                <c:pt idx="21">
                  <c:v>4.7942140000000002</c:v>
                </c:pt>
                <c:pt idx="22">
                  <c:v>4.7445890000000004</c:v>
                </c:pt>
                <c:pt idx="23">
                  <c:v>4.7421860000000002</c:v>
                </c:pt>
                <c:pt idx="24">
                  <c:v>4.7064450000000004</c:v>
                </c:pt>
                <c:pt idx="25">
                  <c:v>4.6718780000000004</c:v>
                </c:pt>
                <c:pt idx="26">
                  <c:v>4.6380869999999996</c:v>
                </c:pt>
                <c:pt idx="27">
                  <c:v>4.5964590000000003</c:v>
                </c:pt>
                <c:pt idx="28">
                  <c:v>4.5926539999999996</c:v>
                </c:pt>
              </c:numCache>
            </c:numRef>
          </c:xVal>
          <c:yVal>
            <c:numRef>
              <c:f>Correlations!$G$57:$AI$57</c:f>
              <c:numCache>
                <c:formatCode>"$"#,##0.00</c:formatCode>
                <c:ptCount val="29"/>
                <c:pt idx="0">
                  <c:v>84.805011954217434</c:v>
                </c:pt>
                <c:pt idx="1">
                  <c:v>78.535312999774291</c:v>
                </c:pt>
                <c:pt idx="2">
                  <c:v>71.972357748952575</c:v>
                </c:pt>
                <c:pt idx="3">
                  <c:v>68.610415043752809</c:v>
                </c:pt>
                <c:pt idx="4">
                  <c:v>66.050544279136346</c:v>
                </c:pt>
                <c:pt idx="5">
                  <c:v>64.636851375926454</c:v>
                </c:pt>
                <c:pt idx="6">
                  <c:v>64.144425671158288</c:v>
                </c:pt>
                <c:pt idx="7">
                  <c:v>64.233319355673686</c:v>
                </c:pt>
                <c:pt idx="8">
                  <c:v>64.579252952890243</c:v>
                </c:pt>
                <c:pt idx="9">
                  <c:v>65.202200777307183</c:v>
                </c:pt>
                <c:pt idx="10">
                  <c:v>65.857674143752888</c:v>
                </c:pt>
                <c:pt idx="11">
                  <c:v>66.792231921015969</c:v>
                </c:pt>
                <c:pt idx="12">
                  <c:v>67.539071362696831</c:v>
                </c:pt>
                <c:pt idx="13">
                  <c:v>68.196685890483579</c:v>
                </c:pt>
                <c:pt idx="14">
                  <c:v>68.308635505682389</c:v>
                </c:pt>
                <c:pt idx="15">
                  <c:v>68.572187624561707</c:v>
                </c:pt>
                <c:pt idx="16">
                  <c:v>69.307232934435817</c:v>
                </c:pt>
                <c:pt idx="17">
                  <c:v>68.981581221855848</c:v>
                </c:pt>
                <c:pt idx="18">
                  <c:v>69.690412092327989</c:v>
                </c:pt>
                <c:pt idx="19">
                  <c:v>70.144787822215079</c:v>
                </c:pt>
                <c:pt idx="20">
                  <c:v>70.109216152864121</c:v>
                </c:pt>
                <c:pt idx="21">
                  <c:v>69.806318715640501</c:v>
                </c:pt>
                <c:pt idx="22">
                  <c:v>69.512796252796875</c:v>
                </c:pt>
                <c:pt idx="23">
                  <c:v>69.498582963563365</c:v>
                </c:pt>
                <c:pt idx="24">
                  <c:v>69.28718172740227</c:v>
                </c:pt>
                <c:pt idx="25">
                  <c:v>69.082724478573752</c:v>
                </c:pt>
                <c:pt idx="26">
                  <c:v>68.882857122564701</c:v>
                </c:pt>
                <c:pt idx="27">
                  <c:v>68.636635397965122</c:v>
                </c:pt>
                <c:pt idx="28">
                  <c:v>68.614129544642793</c:v>
                </c:pt>
              </c:numCache>
            </c:numRef>
          </c:yVal>
          <c:smooth val="0"/>
          <c:extLst>
            <c:ext xmlns:c16="http://schemas.microsoft.com/office/drawing/2014/chart" uri="{C3380CC4-5D6E-409C-BE32-E72D297353CC}">
              <c16:uniqueId val="{00000001-48A8-4900-A03D-102129229722}"/>
            </c:ext>
          </c:extLst>
        </c:ser>
        <c:ser>
          <c:idx val="0"/>
          <c:order val="2"/>
          <c:tx>
            <c:v>Extrapolation</c:v>
          </c:tx>
          <c:spPr>
            <a:ln w="25400" cap="rnd">
              <a:solidFill>
                <a:srgbClr val="FF0000"/>
              </a:solidFill>
              <a:prstDash val="dash"/>
              <a:round/>
            </a:ln>
            <a:effectLst/>
          </c:spPr>
          <c:marker>
            <c:symbol val="none"/>
          </c:marker>
          <c:xVal>
            <c:numRef>
              <c:f>Correlations!$AJ$56:$AX$56</c:f>
              <c:numCache>
                <c:formatCode>"$"#,##0.00</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Correlations!$AJ$57:$AX$57</c:f>
              <c:numCache>
                <c:formatCode>"$"#,##0.00</c:formatCode>
                <c:ptCount val="15"/>
                <c:pt idx="0">
                  <c:v>47.364262537590015</c:v>
                </c:pt>
                <c:pt idx="1">
                  <c:v>53.279072871970328</c:v>
                </c:pt>
                <c:pt idx="2">
                  <c:v>59.193883206350648</c:v>
                </c:pt>
                <c:pt idx="3">
                  <c:v>65.108693540730968</c:v>
                </c:pt>
                <c:pt idx="4">
                  <c:v>71.023503875111288</c:v>
                </c:pt>
                <c:pt idx="5">
                  <c:v>76.938314209491608</c:v>
                </c:pt>
                <c:pt idx="6">
                  <c:v>82.853124543871928</c:v>
                </c:pt>
                <c:pt idx="7">
                  <c:v>88.767934878252248</c:v>
                </c:pt>
                <c:pt idx="8">
                  <c:v>94.682745212632568</c:v>
                </c:pt>
                <c:pt idx="9">
                  <c:v>100.59755554701289</c:v>
                </c:pt>
                <c:pt idx="10">
                  <c:v>106.51236588139321</c:v>
                </c:pt>
                <c:pt idx="11">
                  <c:v>112.4271762157735</c:v>
                </c:pt>
                <c:pt idx="12">
                  <c:v>118.34198655015382</c:v>
                </c:pt>
                <c:pt idx="13">
                  <c:v>124.25679688453414</c:v>
                </c:pt>
                <c:pt idx="14">
                  <c:v>130.17160721891446</c:v>
                </c:pt>
              </c:numCache>
            </c:numRef>
          </c:yVal>
          <c:smooth val="0"/>
          <c:extLst>
            <c:ext xmlns:c16="http://schemas.microsoft.com/office/drawing/2014/chart" uri="{C3380CC4-5D6E-409C-BE32-E72D297353CC}">
              <c16:uniqueId val="{00000001-14B8-48DE-AAE8-D9C36D995016}"/>
            </c:ext>
          </c:extLst>
        </c:ser>
        <c:dLbls>
          <c:showLegendKey val="0"/>
          <c:showVal val="0"/>
          <c:showCatName val="0"/>
          <c:showSerName val="0"/>
          <c:showPercent val="0"/>
          <c:showBubbleSize val="0"/>
        </c:dLbls>
        <c:axId val="140291248"/>
        <c:axId val="140297008"/>
      </c:scatterChart>
      <c:valAx>
        <c:axId val="140291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65000"/>
                        <a:lumOff val="35000"/>
                      </a:sysClr>
                    </a:solidFill>
                    <a:latin typeface="+mn-lt"/>
                    <a:ea typeface="+mn-ea"/>
                    <a:cs typeface="+mn-cs"/>
                  </a:defRPr>
                </a:pPr>
                <a:r>
                  <a:rPr lang="en-US" sz="1200" b="1" i="0" u="none" strike="noStrike" kern="1200" baseline="0">
                    <a:solidFill>
                      <a:sysClr val="windowText" lastClr="000000">
                        <a:lumMod val="65000"/>
                        <a:lumOff val="35000"/>
                      </a:sysClr>
                    </a:solidFill>
                  </a:rPr>
                  <a:t>Natural Gas Price, $/MMBtu</a:t>
                </a:r>
                <a:endParaRPr lang="en-US" sz="1200" b="1"/>
              </a:p>
            </c:rich>
          </c:tx>
          <c:layout>
            <c:manualLayout>
              <c:xMode val="edge"/>
              <c:yMode val="edge"/>
              <c:x val="0.58013724429529623"/>
              <c:y val="0.5596834359271011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65000"/>
                      <a:lumOff val="35000"/>
                    </a:sys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1" i="0" u="none" strike="noStrike" kern="1200" baseline="0">
                    <a:solidFill>
                      <a:sysClr val="windowText" lastClr="000000">
                        <a:lumMod val="65000"/>
                        <a:lumOff val="35000"/>
                      </a:sysClr>
                    </a:solidFill>
                  </a:rPr>
                  <a:t>Electricity Price, $/ MWh </a:t>
                </a:r>
                <a:endParaRPr lang="en-US" sz="1200"/>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w="25400">
          <a:noFill/>
        </a:ln>
        <a:effectLst/>
      </c:spPr>
    </c:plotArea>
    <c:legend>
      <c:legendPos val="b"/>
      <c:legendEntry>
        <c:idx val="0"/>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3.1420290928697657E-2"/>
          <c:y val="0.77839208051704945"/>
          <c:w val="0.78577388154640049"/>
          <c:h val="0.22160792400949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NOAK</a:t>
            </a:r>
          </a:p>
        </c:rich>
      </c:tx>
      <c:layout>
        <c:manualLayout>
          <c:xMode val="edge"/>
          <c:yMode val="edge"/>
          <c:x val="4.0308379080575218E-2"/>
          <c:y val="0.7654331534780952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408013119950646"/>
          <c:y val="8.2414113321088125E-2"/>
          <c:w val="0.73957126469074586"/>
          <c:h val="0.63580676913165879"/>
        </c:manualLayout>
      </c:layout>
      <c:scatterChart>
        <c:scatterStyle val="lineMarker"/>
        <c:varyColors val="0"/>
        <c:ser>
          <c:idx val="1"/>
          <c:order val="0"/>
          <c:spPr>
            <a:ln w="25400" cap="rnd">
              <a:noFill/>
              <a:round/>
            </a:ln>
            <a:effectLst/>
          </c:spPr>
          <c:marker>
            <c:symbol val="circle"/>
            <c:size val="5"/>
            <c:spPr>
              <a:solidFill>
                <a:schemeClr val="accent2"/>
              </a:solidFill>
              <a:ln w="9525">
                <a:noFill/>
              </a:ln>
              <a:effectLst/>
            </c:spPr>
          </c:marker>
          <c:trendline>
            <c:spPr>
              <a:ln w="19050" cap="rnd">
                <a:solidFill>
                  <a:schemeClr val="accent2"/>
                </a:solidFill>
                <a:prstDash val="sysDot"/>
              </a:ln>
              <a:effectLst/>
            </c:spPr>
            <c:trendlineType val="power"/>
            <c:dispRSqr val="1"/>
            <c:dispEq val="1"/>
            <c:trendlineLbl>
              <c:layout>
                <c:manualLayout>
                  <c:x val="-6.6914478053021476E-2"/>
                  <c:y val="0.120817269807742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Correlations!$F$10:$L$10</c:f>
              <c:numCache>
                <c:formatCode>General</c:formatCode>
                <c:ptCount val="7"/>
                <c:pt idx="0">
                  <c:v>25</c:v>
                </c:pt>
                <c:pt idx="1">
                  <c:v>50</c:v>
                </c:pt>
                <c:pt idx="2">
                  <c:v>100</c:v>
                </c:pt>
                <c:pt idx="3">
                  <c:v>200</c:v>
                </c:pt>
                <c:pt idx="4">
                  <c:v>400</c:v>
                </c:pt>
                <c:pt idx="5">
                  <c:v>800</c:v>
                </c:pt>
                <c:pt idx="6">
                  <c:v>1600</c:v>
                </c:pt>
              </c:numCache>
            </c:numRef>
          </c:xVal>
          <c:yVal>
            <c:numRef>
              <c:f>Correlations!$F$13:$L$13</c:f>
              <c:numCache>
                <c:formatCode>"$"#,##0</c:formatCode>
                <c:ptCount val="7"/>
                <c:pt idx="0">
                  <c:v>1259.7681175535331</c:v>
                </c:pt>
                <c:pt idx="1">
                  <c:v>1104.8639066600886</c:v>
                </c:pt>
                <c:pt idx="2">
                  <c:v>1005.6053164415533</c:v>
                </c:pt>
                <c:pt idx="3">
                  <c:v>940.37990006947064</c:v>
                </c:pt>
                <c:pt idx="4">
                  <c:v>896.57605171250259</c:v>
                </c:pt>
                <c:pt idx="5">
                  <c:v>866.61746378354985</c:v>
                </c:pt>
                <c:pt idx="6">
                  <c:v>845.81899604795603</c:v>
                </c:pt>
              </c:numCache>
            </c:numRef>
          </c:yVal>
          <c:smooth val="0"/>
          <c:extLst>
            <c:ext xmlns:c16="http://schemas.microsoft.com/office/drawing/2014/chart" uri="{C3380CC4-5D6E-409C-BE32-E72D297353CC}">
              <c16:uniqueId val="{00000001-9ABE-4827-AFCA-4364B31C4545}"/>
            </c:ext>
          </c:extLst>
        </c:ser>
        <c:dLbls>
          <c:showLegendKey val="0"/>
          <c:showVal val="0"/>
          <c:showCatName val="0"/>
          <c:showSerName val="0"/>
          <c:showPercent val="0"/>
          <c:showBubbleSize val="0"/>
        </c:dLbls>
        <c:axId val="610677151"/>
        <c:axId val="1110006751"/>
      </c:scatterChart>
      <c:valAx>
        <c:axId val="610677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Plant Capacity</a:t>
                </a:r>
                <a:r>
                  <a:rPr lang="en-US" baseline="0"/>
                  <a:t> (MW-dc)</a:t>
                </a:r>
                <a:endParaRPr lang="en-US"/>
              </a:p>
            </c:rich>
          </c:tx>
          <c:layout>
            <c:manualLayout>
              <c:xMode val="edge"/>
              <c:yMode val="edge"/>
              <c:x val="0.71521203413717271"/>
              <c:y val="0.8708504062714267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006751"/>
        <c:crosses val="autoZero"/>
        <c:crossBetween val="midCat"/>
      </c:valAx>
      <c:valAx>
        <c:axId val="1110006751"/>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DCC, $/KW-dc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677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13</xdr:col>
      <xdr:colOff>15551</xdr:colOff>
      <xdr:row>69</xdr:row>
      <xdr:rowOff>111354</xdr:rowOff>
    </xdr:from>
    <xdr:to>
      <xdr:col>25</xdr:col>
      <xdr:colOff>540252</xdr:colOff>
      <xdr:row>81</xdr:row>
      <xdr:rowOff>141834</xdr:rowOff>
    </xdr:to>
    <xdr:graphicFrame macro="">
      <xdr:nvGraphicFramePr>
        <xdr:cNvPr id="8" name="Chart 7">
          <a:extLst>
            <a:ext uri="{FF2B5EF4-FFF2-40B4-BE49-F238E27FC236}">
              <a16:creationId xmlns:a16="http://schemas.microsoft.com/office/drawing/2014/main" id="{52B5C165-58C9-43A6-BEAB-A8C59F10EC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261256</xdr:colOff>
      <xdr:row>31</xdr:row>
      <xdr:rowOff>92530</xdr:rowOff>
    </xdr:from>
    <xdr:to>
      <xdr:col>25</xdr:col>
      <xdr:colOff>217713</xdr:colOff>
      <xdr:row>37</xdr:row>
      <xdr:rowOff>0</xdr:rowOff>
    </xdr:to>
    <xdr:sp macro="[0]!runSA_LCOH" textlink="">
      <xdr:nvSpPr>
        <xdr:cNvPr id="6" name="Rectangle: Rounded Corners 5">
          <a:extLst>
            <a:ext uri="{FF2B5EF4-FFF2-40B4-BE49-F238E27FC236}">
              <a16:creationId xmlns:a16="http://schemas.microsoft.com/office/drawing/2014/main" id="{00000000-0008-0000-0900-000006000000}"/>
            </a:ext>
          </a:extLst>
        </xdr:cNvPr>
        <xdr:cNvSpPr/>
      </xdr:nvSpPr>
      <xdr:spPr>
        <a:xfrm>
          <a:off x="11713027" y="7783287"/>
          <a:ext cx="1524000" cy="163285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u="sng">
              <a:solidFill>
                <a:schemeClr val="bg1"/>
              </a:solidFill>
            </a:rPr>
            <a:t>CLICK: Run Sensitivity</a:t>
          </a:r>
          <a:r>
            <a:rPr lang="en-US" sz="1600" b="1" u="sng" baseline="0">
              <a:solidFill>
                <a:schemeClr val="bg1"/>
              </a:solidFill>
            </a:rPr>
            <a:t> Analysis</a:t>
          </a:r>
          <a:r>
            <a:rPr lang="en-US" sz="1600" b="1" u="sng">
              <a:solidFill>
                <a:schemeClr val="bg1"/>
              </a:solidFill>
            </a:rPr>
            <a:t> for LCOH and NPV</a:t>
          </a:r>
        </a:p>
      </xdr:txBody>
    </xdr:sp>
    <xdr:clientData/>
  </xdr:twoCellAnchor>
  <xdr:twoCellAnchor>
    <xdr:from>
      <xdr:col>1</xdr:col>
      <xdr:colOff>56357</xdr:colOff>
      <xdr:row>69</xdr:row>
      <xdr:rowOff>62778</xdr:rowOff>
    </xdr:from>
    <xdr:to>
      <xdr:col>9</xdr:col>
      <xdr:colOff>234043</xdr:colOff>
      <xdr:row>72</xdr:row>
      <xdr:rowOff>34891</xdr:rowOff>
    </xdr:to>
    <xdr:sp macro="[0]!run_NPV_LMP" textlink="">
      <xdr:nvSpPr>
        <xdr:cNvPr id="11" name="Rectangle: Rounded Corners 10">
          <a:extLst>
            <a:ext uri="{FF2B5EF4-FFF2-40B4-BE49-F238E27FC236}">
              <a16:creationId xmlns:a16="http://schemas.microsoft.com/office/drawing/2014/main" id="{00000000-0008-0000-0900-00000B000000}"/>
            </a:ext>
          </a:extLst>
        </xdr:cNvPr>
        <xdr:cNvSpPr/>
      </xdr:nvSpPr>
      <xdr:spPr>
        <a:xfrm>
          <a:off x="1458939" y="21917943"/>
          <a:ext cx="4755269" cy="66293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solidFill>
                <a:schemeClr val="bg1"/>
              </a:solidFill>
            </a:rPr>
            <a:t>CLICK:</a:t>
          </a:r>
          <a:r>
            <a:rPr lang="en-US" sz="2000" b="1" u="sng" baseline="0">
              <a:solidFill>
                <a:schemeClr val="bg1"/>
              </a:solidFill>
            </a:rPr>
            <a:t> </a:t>
          </a:r>
          <a:r>
            <a:rPr lang="en-US" sz="2000" b="1" u="sng">
              <a:solidFill>
                <a:schemeClr val="bg1"/>
              </a:solidFill>
            </a:rPr>
            <a:t>Update</a:t>
          </a:r>
          <a:r>
            <a:rPr lang="en-US" sz="2000" b="1" u="sng" baseline="0">
              <a:solidFill>
                <a:schemeClr val="bg1"/>
              </a:solidFill>
            </a:rPr>
            <a:t> Preference Analysis</a:t>
          </a:r>
          <a:endParaRPr lang="en-US" sz="2000" b="1" u="sng">
            <a:solidFill>
              <a:schemeClr val="bg1"/>
            </a:solidFill>
          </a:endParaRPr>
        </a:p>
      </xdr:txBody>
    </xdr:sp>
    <xdr:clientData/>
  </xdr:twoCellAnchor>
  <xdr:twoCellAnchor>
    <xdr:from>
      <xdr:col>1</xdr:col>
      <xdr:colOff>1400</xdr:colOff>
      <xdr:row>38</xdr:row>
      <xdr:rowOff>26670</xdr:rowOff>
    </xdr:from>
    <xdr:to>
      <xdr:col>13</xdr:col>
      <xdr:colOff>230000</xdr:colOff>
      <xdr:row>44</xdr:row>
      <xdr:rowOff>586740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274589</xdr:colOff>
      <xdr:row>38</xdr:row>
      <xdr:rowOff>30479</xdr:rowOff>
    </xdr:from>
    <xdr:to>
      <xdr:col>25</xdr:col>
      <xdr:colOff>514619</xdr:colOff>
      <xdr:row>44</xdr:row>
      <xdr:rowOff>579119</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458754</xdr:colOff>
      <xdr:row>10</xdr:row>
      <xdr:rowOff>40163</xdr:rowOff>
    </xdr:from>
    <xdr:to>
      <xdr:col>25</xdr:col>
      <xdr:colOff>569945</xdr:colOff>
      <xdr:row>18</xdr:row>
      <xdr:rowOff>367392</xdr:rowOff>
    </xdr:to>
    <xdr:graphicFrame macro="">
      <xdr:nvGraphicFramePr>
        <xdr:cNvPr id="4" name="Chart 3">
          <a:extLst>
            <a:ext uri="{FF2B5EF4-FFF2-40B4-BE49-F238E27FC236}">
              <a16:creationId xmlns:a16="http://schemas.microsoft.com/office/drawing/2014/main" id="{E647BB32-D68F-409A-AF02-FACC2791D5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93634</xdr:colOff>
      <xdr:row>86</xdr:row>
      <xdr:rowOff>110594</xdr:rowOff>
    </xdr:from>
    <xdr:to>
      <xdr:col>25</xdr:col>
      <xdr:colOff>291391</xdr:colOff>
      <xdr:row>105</xdr:row>
      <xdr:rowOff>184499</xdr:rowOff>
    </xdr:to>
    <xdr:graphicFrame macro="">
      <xdr:nvGraphicFramePr>
        <xdr:cNvPr id="7" name="Chart 6">
          <a:extLst>
            <a:ext uri="{FF2B5EF4-FFF2-40B4-BE49-F238E27FC236}">
              <a16:creationId xmlns:a16="http://schemas.microsoft.com/office/drawing/2014/main" id="{D1B26660-A2C8-4DEA-8E57-2863D9E32D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40279</xdr:colOff>
      <xdr:row>83</xdr:row>
      <xdr:rowOff>218684</xdr:rowOff>
    </xdr:from>
    <xdr:to>
      <xdr:col>8</xdr:col>
      <xdr:colOff>441476</xdr:colOff>
      <xdr:row>85</xdr:row>
      <xdr:rowOff>131717</xdr:rowOff>
    </xdr:to>
    <xdr:sp macro="[0]!LCOH_SMR_HTSE" textlink="">
      <xdr:nvSpPr>
        <xdr:cNvPr id="13" name="Rectangle: Rounded Corners 12">
          <a:extLst>
            <a:ext uri="{FF2B5EF4-FFF2-40B4-BE49-F238E27FC236}">
              <a16:creationId xmlns:a16="http://schemas.microsoft.com/office/drawing/2014/main" id="{1EB20530-0C26-4DC5-8AF9-2F22B1BF802E}"/>
            </a:ext>
          </a:extLst>
        </xdr:cNvPr>
        <xdr:cNvSpPr/>
      </xdr:nvSpPr>
      <xdr:spPr>
        <a:xfrm>
          <a:off x="239850" y="23338732"/>
          <a:ext cx="4422864" cy="372652"/>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solidFill>
                <a:schemeClr val="bg1"/>
              </a:solidFill>
            </a:rPr>
            <a:t>CLICK:</a:t>
          </a:r>
          <a:r>
            <a:rPr lang="en-US" sz="2000" b="1" u="sng" baseline="0">
              <a:solidFill>
                <a:schemeClr val="bg1"/>
              </a:solidFill>
            </a:rPr>
            <a:t> </a:t>
          </a:r>
          <a:r>
            <a:rPr lang="en-US" sz="2000" b="1" u="sng">
              <a:solidFill>
                <a:schemeClr val="bg1"/>
              </a:solidFill>
            </a:rPr>
            <a:t>Update</a:t>
          </a:r>
          <a:r>
            <a:rPr lang="en-US" sz="2000" b="1" u="sng" baseline="0">
              <a:solidFill>
                <a:schemeClr val="bg1"/>
              </a:solidFill>
            </a:rPr>
            <a:t> Competitive Analysis </a:t>
          </a:r>
          <a:endParaRPr lang="en-US" sz="2000" b="1" u="sng">
            <a:solidFill>
              <a:schemeClr val="bg1"/>
            </a:solidFill>
          </a:endParaRPr>
        </a:p>
      </xdr:txBody>
    </xdr:sp>
    <xdr:clientData/>
  </xdr:twoCellAnchor>
  <xdr:twoCellAnchor>
    <xdr:from>
      <xdr:col>22</xdr:col>
      <xdr:colOff>417285</xdr:colOff>
      <xdr:row>46</xdr:row>
      <xdr:rowOff>93879</xdr:rowOff>
    </xdr:from>
    <xdr:to>
      <xdr:col>25</xdr:col>
      <xdr:colOff>547912</xdr:colOff>
      <xdr:row>48</xdr:row>
      <xdr:rowOff>371929</xdr:rowOff>
    </xdr:to>
    <xdr:sp macro="[0]!run_SA_two_variable" textlink="">
      <xdr:nvSpPr>
        <xdr:cNvPr id="2" name="Rectangle 1">
          <a:extLst>
            <a:ext uri="{FF2B5EF4-FFF2-40B4-BE49-F238E27FC236}">
              <a16:creationId xmlns:a16="http://schemas.microsoft.com/office/drawing/2014/main" id="{B09EE0EE-3E6F-C95C-F635-85C0096AC383}"/>
            </a:ext>
          </a:extLst>
        </xdr:cNvPr>
        <xdr:cNvSpPr/>
      </xdr:nvSpPr>
      <xdr:spPr>
        <a:xfrm>
          <a:off x="13824856" y="14735165"/>
          <a:ext cx="1845127" cy="90397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2000" b="1" u="sng">
              <a:solidFill>
                <a:schemeClr val="lt1"/>
              </a:solidFill>
              <a:latin typeface="+mn-lt"/>
              <a:ea typeface="+mn-ea"/>
              <a:cs typeface="+mn-cs"/>
            </a:rPr>
            <a:t>CLICK: Update</a:t>
          </a:r>
          <a:r>
            <a:rPr lang="en-US" sz="2000" b="1" u="sng" baseline="0">
              <a:solidFill>
                <a:schemeClr val="lt1"/>
              </a:solidFill>
              <a:latin typeface="+mn-lt"/>
              <a:ea typeface="+mn-ea"/>
              <a:cs typeface="+mn-cs"/>
            </a:rPr>
            <a:t> Heat Maps </a:t>
          </a:r>
          <a:endParaRPr lang="en-US" sz="2000" b="1" u="sng">
            <a:solidFill>
              <a:schemeClr val="lt1"/>
            </a:solidFill>
            <a:latin typeface="+mn-lt"/>
            <a:ea typeface="+mn-ea"/>
            <a:cs typeface="+mn-cs"/>
          </a:endParaRPr>
        </a:p>
      </xdr:txBody>
    </xdr:sp>
    <xdr:clientData/>
  </xdr:twoCellAnchor>
  <xdr:twoCellAnchor>
    <xdr:from>
      <xdr:col>1</xdr:col>
      <xdr:colOff>5444</xdr:colOff>
      <xdr:row>29</xdr:row>
      <xdr:rowOff>0</xdr:rowOff>
    </xdr:from>
    <xdr:to>
      <xdr:col>9</xdr:col>
      <xdr:colOff>224118</xdr:colOff>
      <xdr:row>30</xdr:row>
      <xdr:rowOff>5443</xdr:rowOff>
    </xdr:to>
    <xdr:sp macro="[0]!Input_Click_Add_SA" textlink="">
      <xdr:nvSpPr>
        <xdr:cNvPr id="3" name="Rectangle 2">
          <a:extLst>
            <a:ext uri="{FF2B5EF4-FFF2-40B4-BE49-F238E27FC236}">
              <a16:creationId xmlns:a16="http://schemas.microsoft.com/office/drawing/2014/main" id="{34588107-093C-405C-AF2D-5E426AE2B71E}"/>
            </a:ext>
          </a:extLst>
        </xdr:cNvPr>
        <xdr:cNvSpPr/>
      </xdr:nvSpPr>
      <xdr:spPr>
        <a:xfrm>
          <a:off x="1298923" y="8977513"/>
          <a:ext cx="4841901" cy="344821"/>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u="sng"/>
            <a:t>CLICK:</a:t>
          </a:r>
          <a:r>
            <a:rPr lang="en-US" sz="1600" b="1" u="sng" baseline="0"/>
            <a:t> </a:t>
          </a:r>
          <a:r>
            <a:rPr lang="en-US" sz="1600" b="1" u="sng"/>
            <a:t>Additional  Information for Sensitivity Analysis</a:t>
          </a:r>
        </a:p>
      </xdr:txBody>
    </xdr:sp>
    <xdr:clientData/>
  </xdr:twoCellAnchor>
  <xdr:twoCellAnchor>
    <xdr:from>
      <xdr:col>0</xdr:col>
      <xdr:colOff>1235849</xdr:colOff>
      <xdr:row>106</xdr:row>
      <xdr:rowOff>2781</xdr:rowOff>
    </xdr:from>
    <xdr:to>
      <xdr:col>12</xdr:col>
      <xdr:colOff>405311</xdr:colOff>
      <xdr:row>108</xdr:row>
      <xdr:rowOff>37856</xdr:rowOff>
    </xdr:to>
    <xdr:sp macro="[0]!Input_Click_Correlations_T" textlink="">
      <xdr:nvSpPr>
        <xdr:cNvPr id="9" name="Rectangle 8">
          <a:extLst>
            <a:ext uri="{FF2B5EF4-FFF2-40B4-BE49-F238E27FC236}">
              <a16:creationId xmlns:a16="http://schemas.microsoft.com/office/drawing/2014/main" id="{9FA129CF-D363-4DF2-B545-441ED4C1B7BE}"/>
            </a:ext>
          </a:extLst>
        </xdr:cNvPr>
        <xdr:cNvSpPr/>
      </xdr:nvSpPr>
      <xdr:spPr>
        <a:xfrm>
          <a:off x="1235849" y="30303487"/>
          <a:ext cx="6687008" cy="41927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u="sng"/>
            <a:t>CLICK:</a:t>
          </a:r>
          <a:r>
            <a:rPr lang="en-US" sz="2000" b="1" u="sng" baseline="0"/>
            <a:t> </a:t>
          </a:r>
          <a:r>
            <a:rPr lang="en-US" sz="2000" b="1" u="sng"/>
            <a:t>Additional  Information for Competitive Analysis </a:t>
          </a:r>
        </a:p>
      </xdr:txBody>
    </xdr:sp>
    <xdr:clientData/>
  </xdr:twoCellAnchor>
  <xdr:twoCellAnchor>
    <xdr:from>
      <xdr:col>0</xdr:col>
      <xdr:colOff>129267</xdr:colOff>
      <xdr:row>14</xdr:row>
      <xdr:rowOff>40823</xdr:rowOff>
    </xdr:from>
    <xdr:to>
      <xdr:col>0</xdr:col>
      <xdr:colOff>1347106</xdr:colOff>
      <xdr:row>14</xdr:row>
      <xdr:rowOff>340179</xdr:rowOff>
    </xdr:to>
    <xdr:sp macro="[0]!Input_Click_LCOH_T" textlink="">
      <xdr:nvSpPr>
        <xdr:cNvPr id="10" name="Rectangle 9">
          <a:extLst>
            <a:ext uri="{FF2B5EF4-FFF2-40B4-BE49-F238E27FC236}">
              <a16:creationId xmlns:a16="http://schemas.microsoft.com/office/drawing/2014/main" id="{EB076017-E2C7-4F26-99BF-2F01A322586E}"/>
            </a:ext>
          </a:extLst>
        </xdr:cNvPr>
        <xdr:cNvSpPr/>
      </xdr:nvSpPr>
      <xdr:spPr>
        <a:xfrm>
          <a:off x="129267" y="4184198"/>
          <a:ext cx="1217839" cy="29935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LCOH ($ 2022)</a:t>
          </a:r>
        </a:p>
      </xdr:txBody>
    </xdr:sp>
    <xdr:clientData/>
  </xdr:twoCellAnchor>
  <xdr:twoCellAnchor>
    <xdr:from>
      <xdr:col>0</xdr:col>
      <xdr:colOff>27214</xdr:colOff>
      <xdr:row>18</xdr:row>
      <xdr:rowOff>47627</xdr:rowOff>
    </xdr:from>
    <xdr:to>
      <xdr:col>0</xdr:col>
      <xdr:colOff>1353910</xdr:colOff>
      <xdr:row>18</xdr:row>
      <xdr:rowOff>353787</xdr:rowOff>
    </xdr:to>
    <xdr:sp macro="[0]!Input_Click_NPV_T" textlink="">
      <xdr:nvSpPr>
        <xdr:cNvPr id="14" name="Rectangle 13">
          <a:extLst>
            <a:ext uri="{FF2B5EF4-FFF2-40B4-BE49-F238E27FC236}">
              <a16:creationId xmlns:a16="http://schemas.microsoft.com/office/drawing/2014/main" id="{78292CA4-ADF9-4DEF-9BD1-85DAD318E039}"/>
            </a:ext>
          </a:extLst>
        </xdr:cNvPr>
        <xdr:cNvSpPr/>
      </xdr:nvSpPr>
      <xdr:spPr>
        <a:xfrm>
          <a:off x="27214" y="5470073"/>
          <a:ext cx="1326696" cy="306160"/>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NPVH2 ($ Million)</a:t>
          </a:r>
        </a:p>
      </xdr:txBody>
    </xdr:sp>
    <xdr:clientData/>
  </xdr:twoCellAnchor>
  <xdr:twoCellAnchor>
    <xdr:from>
      <xdr:col>0</xdr:col>
      <xdr:colOff>1295539</xdr:colOff>
      <xdr:row>86</xdr:row>
      <xdr:rowOff>113137</xdr:rowOff>
    </xdr:from>
    <xdr:to>
      <xdr:col>13</xdr:col>
      <xdr:colOff>27567</xdr:colOff>
      <xdr:row>105</xdr:row>
      <xdr:rowOff>185707</xdr:rowOff>
    </xdr:to>
    <xdr:graphicFrame macro="[0]!Chart16_Click">
      <xdr:nvGraphicFramePr>
        <xdr:cNvPr id="17" name="Chart 16">
          <a:extLst>
            <a:ext uri="{FF2B5EF4-FFF2-40B4-BE49-F238E27FC236}">
              <a16:creationId xmlns:a16="http://schemas.microsoft.com/office/drawing/2014/main" id="{F52D168E-BD5D-4DBE-B2FB-AA1963D1D0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459727</xdr:colOff>
      <xdr:row>19</xdr:row>
      <xdr:rowOff>40822</xdr:rowOff>
    </xdr:from>
    <xdr:to>
      <xdr:col>25</xdr:col>
      <xdr:colOff>560093</xdr:colOff>
      <xdr:row>27</xdr:row>
      <xdr:rowOff>54428</xdr:rowOff>
    </xdr:to>
    <xdr:graphicFrame macro="">
      <xdr:nvGraphicFramePr>
        <xdr:cNvPr id="16" name="Chart 15">
          <a:extLst>
            <a:ext uri="{FF2B5EF4-FFF2-40B4-BE49-F238E27FC236}">
              <a16:creationId xmlns:a16="http://schemas.microsoft.com/office/drawing/2014/main" id="{8444B0D7-495A-4B8D-A430-91A34D10F6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12806</xdr:colOff>
      <xdr:row>13</xdr:row>
      <xdr:rowOff>34900</xdr:rowOff>
    </xdr:from>
    <xdr:to>
      <xdr:col>3</xdr:col>
      <xdr:colOff>557092</xdr:colOff>
      <xdr:row>13</xdr:row>
      <xdr:rowOff>473850</xdr:rowOff>
    </xdr:to>
    <xdr:sp macro="[0]!run_breakeven_H2_only_no_PTC" textlink="">
      <xdr:nvSpPr>
        <xdr:cNvPr id="12" name="Rectangle: Rounded Corners 11">
          <a:extLst>
            <a:ext uri="{FF2B5EF4-FFF2-40B4-BE49-F238E27FC236}">
              <a16:creationId xmlns:a16="http://schemas.microsoft.com/office/drawing/2014/main" id="{FDA6E518-51E3-4DEC-B30F-81AECF990B97}"/>
            </a:ext>
          </a:extLst>
        </xdr:cNvPr>
        <xdr:cNvSpPr/>
      </xdr:nvSpPr>
      <xdr:spPr>
        <a:xfrm>
          <a:off x="1261461" y="3691219"/>
          <a:ext cx="1684085" cy="43895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solidFill>
                <a:schemeClr val="bg1"/>
              </a:solidFill>
            </a:rPr>
            <a:t>CLICK:</a:t>
          </a:r>
          <a:r>
            <a:rPr lang="en-US" sz="1200" b="1" u="sng" baseline="0">
              <a:solidFill>
                <a:schemeClr val="bg1"/>
              </a:solidFill>
            </a:rPr>
            <a:t> </a:t>
          </a:r>
          <a:r>
            <a:rPr lang="en-US" sz="1200" b="1" u="sng">
              <a:solidFill>
                <a:schemeClr val="bg1"/>
              </a:solidFill>
            </a:rPr>
            <a:t>Find Breakeven </a:t>
          </a:r>
        </a:p>
      </xdr:txBody>
    </xdr:sp>
    <xdr:clientData/>
  </xdr:twoCellAnchor>
  <xdr:twoCellAnchor>
    <xdr:from>
      <xdr:col>5</xdr:col>
      <xdr:colOff>25614</xdr:colOff>
      <xdr:row>13</xdr:row>
      <xdr:rowOff>38421</xdr:rowOff>
    </xdr:from>
    <xdr:to>
      <xdr:col>8</xdr:col>
      <xdr:colOff>2</xdr:colOff>
      <xdr:row>13</xdr:row>
      <xdr:rowOff>477371</xdr:rowOff>
    </xdr:to>
    <xdr:sp macro="[0]!run_breakeven_H2_only_with_PTC" textlink="">
      <xdr:nvSpPr>
        <xdr:cNvPr id="18" name="Rectangle: Rounded Corners 17">
          <a:extLst>
            <a:ext uri="{FF2B5EF4-FFF2-40B4-BE49-F238E27FC236}">
              <a16:creationId xmlns:a16="http://schemas.microsoft.com/office/drawing/2014/main" id="{E2B28ED1-13DA-42F1-AD44-76DB13081C1E}"/>
            </a:ext>
          </a:extLst>
        </xdr:cNvPr>
        <xdr:cNvSpPr/>
      </xdr:nvSpPr>
      <xdr:spPr>
        <a:xfrm>
          <a:off x="3553866" y="3694740"/>
          <a:ext cx="1684085" cy="43895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solidFill>
                <a:schemeClr val="bg1"/>
              </a:solidFill>
            </a:rPr>
            <a:t>CLICK:</a:t>
          </a:r>
          <a:r>
            <a:rPr lang="en-US" sz="1200" b="1" u="sng" baseline="0">
              <a:solidFill>
                <a:schemeClr val="bg1"/>
              </a:solidFill>
            </a:rPr>
            <a:t> </a:t>
          </a:r>
          <a:r>
            <a:rPr lang="en-US" sz="1200" b="1" u="sng">
              <a:solidFill>
                <a:schemeClr val="bg1"/>
              </a:solidFill>
            </a:rPr>
            <a:t>Find Breakeven </a:t>
          </a:r>
        </a:p>
      </xdr:txBody>
    </xdr:sp>
    <xdr:clientData/>
  </xdr:twoCellAnchor>
  <xdr:twoCellAnchor>
    <xdr:from>
      <xdr:col>19</xdr:col>
      <xdr:colOff>97669</xdr:colOff>
      <xdr:row>83</xdr:row>
      <xdr:rowOff>9071</xdr:rowOff>
    </xdr:from>
    <xdr:to>
      <xdr:col>26</xdr:col>
      <xdr:colOff>0</xdr:colOff>
      <xdr:row>85</xdr:row>
      <xdr:rowOff>238810</xdr:rowOff>
    </xdr:to>
    <xdr:sp macro="[0]!Input_Click_T" textlink="">
      <xdr:nvSpPr>
        <xdr:cNvPr id="19" name="Rectangle 18">
          <a:extLst>
            <a:ext uri="{FF2B5EF4-FFF2-40B4-BE49-F238E27FC236}">
              <a16:creationId xmlns:a16="http://schemas.microsoft.com/office/drawing/2014/main" id="{AB0D7507-6561-4A76-A8C1-797FA78D16A2}"/>
            </a:ext>
          </a:extLst>
        </xdr:cNvPr>
        <xdr:cNvSpPr/>
      </xdr:nvSpPr>
      <xdr:spPr>
        <a:xfrm>
          <a:off x="11790740" y="25336500"/>
          <a:ext cx="3902831" cy="71959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t>Define</a:t>
          </a:r>
          <a:r>
            <a:rPr lang="en-US" sz="2000" b="1" u="sng" baseline="0"/>
            <a:t> User-specific electricity and Natural Gas price</a:t>
          </a:r>
          <a:endParaRPr lang="en-US" sz="2000" b="1" u="sng"/>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70758</xdr:colOff>
      <xdr:row>0</xdr:row>
      <xdr:rowOff>136071</xdr:rowOff>
    </xdr:from>
    <xdr:to>
      <xdr:col>6</xdr:col>
      <xdr:colOff>1480457</xdr:colOff>
      <xdr:row>0</xdr:row>
      <xdr:rowOff>435428</xdr:rowOff>
    </xdr:to>
    <xdr:sp macro="[0]!RectangleRounded_data_validation_Input_default" textlink="">
      <xdr:nvSpPr>
        <xdr:cNvPr id="2" name="Rectangle: Rounded Corners 1">
          <a:extLst>
            <a:ext uri="{FF2B5EF4-FFF2-40B4-BE49-F238E27FC236}">
              <a16:creationId xmlns:a16="http://schemas.microsoft.com/office/drawing/2014/main" id="{00000000-0008-0000-0400-000002000000}"/>
            </a:ext>
          </a:extLst>
        </xdr:cNvPr>
        <xdr:cNvSpPr/>
      </xdr:nvSpPr>
      <xdr:spPr>
        <a:xfrm>
          <a:off x="5154387" y="136071"/>
          <a:ext cx="1409699" cy="299357"/>
        </a:xfrm>
        <a:prstGeom prst="roundRect">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Data Validation VBA</a:t>
          </a:r>
        </a:p>
      </xdr:txBody>
    </xdr:sp>
    <xdr:clientData/>
  </xdr:twoCellAnchor>
  <xdr:twoCellAnchor>
    <xdr:from>
      <xdr:col>1</xdr:col>
      <xdr:colOff>87085</xdr:colOff>
      <xdr:row>0</xdr:row>
      <xdr:rowOff>70756</xdr:rowOff>
    </xdr:from>
    <xdr:to>
      <xdr:col>1</xdr:col>
      <xdr:colOff>2901041</xdr:colOff>
      <xdr:row>0</xdr:row>
      <xdr:rowOff>446314</xdr:rowOff>
    </xdr:to>
    <xdr:sp macro="[0]!Input_Click_Input_Default_F" textlink="">
      <xdr:nvSpPr>
        <xdr:cNvPr id="3" name="Rectangle 2">
          <a:extLst>
            <a:ext uri="{FF2B5EF4-FFF2-40B4-BE49-F238E27FC236}">
              <a16:creationId xmlns:a16="http://schemas.microsoft.com/office/drawing/2014/main" id="{1D0F37F7-6A96-403F-A87C-0D79975209FF}"/>
            </a:ext>
          </a:extLst>
        </xdr:cNvPr>
        <xdr:cNvSpPr/>
      </xdr:nvSpPr>
      <xdr:spPr>
        <a:xfrm>
          <a:off x="266699" y="70756"/>
          <a:ext cx="2813956" cy="375558"/>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Inputs (Add)</a:t>
          </a:r>
          <a:endParaRPr lang="en-US" sz="1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124162</xdr:colOff>
      <xdr:row>0</xdr:row>
      <xdr:rowOff>129801</xdr:rowOff>
    </xdr:from>
    <xdr:to>
      <xdr:col>9</xdr:col>
      <xdr:colOff>1548376</xdr:colOff>
      <xdr:row>1</xdr:row>
      <xdr:rowOff>223355</xdr:rowOff>
    </xdr:to>
    <xdr:sp macro="[0]!RectangleRounded_data_validation_inpu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36954162" y="129801"/>
          <a:ext cx="1424214" cy="253684"/>
        </a:xfrm>
        <a:prstGeom prst="roundRect">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Data Validation VBA</a:t>
          </a:r>
        </a:p>
      </xdr:txBody>
    </xdr:sp>
    <xdr:clientData/>
  </xdr:twoCellAnchor>
  <xdr:twoCellAnchor>
    <xdr:from>
      <xdr:col>3</xdr:col>
      <xdr:colOff>31397</xdr:colOff>
      <xdr:row>1</xdr:row>
      <xdr:rowOff>78511</xdr:rowOff>
    </xdr:from>
    <xdr:to>
      <xdr:col>4</xdr:col>
      <xdr:colOff>1393214</xdr:colOff>
      <xdr:row>1</xdr:row>
      <xdr:rowOff>425450</xdr:rowOff>
    </xdr:to>
    <xdr:sp macro="[0]!RectangleRoundedCorners3_Click" textlink="">
      <xdr:nvSpPr>
        <xdr:cNvPr id="6" name="Rectangle 5">
          <a:extLst>
            <a:ext uri="{FF2B5EF4-FFF2-40B4-BE49-F238E27FC236}">
              <a16:creationId xmlns:a16="http://schemas.microsoft.com/office/drawing/2014/main" id="{BA657D09-70C7-4EBF-B3A7-99843E7B1349}"/>
            </a:ext>
          </a:extLst>
        </xdr:cNvPr>
        <xdr:cNvSpPr/>
      </xdr:nvSpPr>
      <xdr:spPr>
        <a:xfrm>
          <a:off x="4997097" y="237261"/>
          <a:ext cx="2644517" cy="346939"/>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0" u="sng"/>
            <a:t>CLICK:</a:t>
          </a:r>
          <a:r>
            <a:rPr lang="en-US" sz="1500" b="0" u="sng" baseline="0"/>
            <a:t>  </a:t>
          </a:r>
          <a:r>
            <a:rPr lang="en-US" sz="1500" b="0" u="sng"/>
            <a:t>Rest to Default</a:t>
          </a:r>
          <a:r>
            <a:rPr lang="en-US" sz="1500" b="0" u="sng" baseline="0"/>
            <a:t> Value</a:t>
          </a:r>
          <a:endParaRPr lang="en-US" sz="1500" b="0" u="sng"/>
        </a:p>
      </xdr:txBody>
    </xdr:sp>
    <xdr:clientData/>
  </xdr:twoCellAnchor>
  <xdr:twoCellAnchor>
    <xdr:from>
      <xdr:col>1</xdr:col>
      <xdr:colOff>2078067</xdr:colOff>
      <xdr:row>1</xdr:row>
      <xdr:rowOff>69062</xdr:rowOff>
    </xdr:from>
    <xdr:to>
      <xdr:col>2</xdr:col>
      <xdr:colOff>1003061</xdr:colOff>
      <xdr:row>1</xdr:row>
      <xdr:rowOff>444500</xdr:rowOff>
    </xdr:to>
    <xdr:sp macro="[0]!Input_Click_Input_Default_T" textlink="">
      <xdr:nvSpPr>
        <xdr:cNvPr id="3" name="Rectangle 2">
          <a:extLst>
            <a:ext uri="{FF2B5EF4-FFF2-40B4-BE49-F238E27FC236}">
              <a16:creationId xmlns:a16="http://schemas.microsoft.com/office/drawing/2014/main" id="{78D4191C-FA14-4CC3-B337-7EAB745ED054}"/>
            </a:ext>
          </a:extLst>
        </xdr:cNvPr>
        <xdr:cNvSpPr/>
      </xdr:nvSpPr>
      <xdr:spPr>
        <a:xfrm>
          <a:off x="2363817" y="227812"/>
          <a:ext cx="2423844" cy="37543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0" u="sng"/>
            <a:t>CLICK:</a:t>
          </a:r>
          <a:r>
            <a:rPr lang="en-US" sz="1500" b="0" u="sng" baseline="0"/>
            <a:t>  </a:t>
          </a:r>
          <a:r>
            <a:rPr lang="en-US" sz="1500" b="0" u="sng"/>
            <a:t>Go to Default</a:t>
          </a:r>
          <a:r>
            <a:rPr lang="en-US" sz="1500" b="0" u="sng" baseline="0"/>
            <a:t> Value</a:t>
          </a:r>
          <a:endParaRPr lang="en-US" sz="1500" b="0" u="sng"/>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21</xdr:row>
      <xdr:rowOff>5442</xdr:rowOff>
    </xdr:from>
    <xdr:to>
      <xdr:col>1</xdr:col>
      <xdr:colOff>805542</xdr:colOff>
      <xdr:row>22</xdr:row>
      <xdr:rowOff>152400</xdr:rowOff>
    </xdr:to>
    <xdr:sp macro="[0]!Input_Click_F" textlink="">
      <xdr:nvSpPr>
        <xdr:cNvPr id="2" name="Rectangle 1">
          <a:extLst>
            <a:ext uri="{FF2B5EF4-FFF2-40B4-BE49-F238E27FC236}">
              <a16:creationId xmlns:a16="http://schemas.microsoft.com/office/drawing/2014/main" id="{DE4B73FD-3841-45A9-95E1-754F2602179C}"/>
            </a:ext>
          </a:extLst>
        </xdr:cNvPr>
        <xdr:cNvSpPr/>
      </xdr:nvSpPr>
      <xdr:spPr>
        <a:xfrm>
          <a:off x="152400" y="3891642"/>
          <a:ext cx="2895599" cy="33201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97972</xdr:colOff>
      <xdr:row>0</xdr:row>
      <xdr:rowOff>130628</xdr:rowOff>
    </xdr:from>
    <xdr:to>
      <xdr:col>1</xdr:col>
      <xdr:colOff>2911928</xdr:colOff>
      <xdr:row>0</xdr:row>
      <xdr:rowOff>462643</xdr:rowOff>
    </xdr:to>
    <xdr:sp macro="[0]!Input_Click_LCOH_F" textlink="">
      <xdr:nvSpPr>
        <xdr:cNvPr id="2" name="Rectangle 1">
          <a:extLst>
            <a:ext uri="{FF2B5EF4-FFF2-40B4-BE49-F238E27FC236}">
              <a16:creationId xmlns:a16="http://schemas.microsoft.com/office/drawing/2014/main" id="{B5D554E1-8281-4FBF-A2D0-71C66DB40978}"/>
            </a:ext>
          </a:extLst>
        </xdr:cNvPr>
        <xdr:cNvSpPr/>
      </xdr:nvSpPr>
      <xdr:spPr>
        <a:xfrm>
          <a:off x="500743" y="130628"/>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67491</xdr:colOff>
      <xdr:row>0</xdr:row>
      <xdr:rowOff>250373</xdr:rowOff>
    </xdr:from>
    <xdr:to>
      <xdr:col>5</xdr:col>
      <xdr:colOff>250371</xdr:colOff>
      <xdr:row>0</xdr:row>
      <xdr:rowOff>544286</xdr:rowOff>
    </xdr:to>
    <xdr:sp macro="[0]!Input_Click_NPV_F" textlink="">
      <xdr:nvSpPr>
        <xdr:cNvPr id="2" name="Rectangle 1">
          <a:extLst>
            <a:ext uri="{FF2B5EF4-FFF2-40B4-BE49-F238E27FC236}">
              <a16:creationId xmlns:a16="http://schemas.microsoft.com/office/drawing/2014/main" id="{F2CA571F-9894-4F43-93D4-C2814DD4A946}"/>
            </a:ext>
          </a:extLst>
        </xdr:cNvPr>
        <xdr:cNvSpPr/>
      </xdr:nvSpPr>
      <xdr:spPr>
        <a:xfrm>
          <a:off x="236220" y="250373"/>
          <a:ext cx="2479765" cy="293913"/>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CLICK:</a:t>
          </a:r>
          <a:r>
            <a:rPr lang="en-US" sz="1400" baseline="0"/>
            <a:t> </a:t>
          </a:r>
          <a:r>
            <a:rPr lang="en-US" sz="1400"/>
            <a:t>Go</a:t>
          </a:r>
          <a:r>
            <a:rPr lang="en-US" sz="1400" baseline="0"/>
            <a:t> back to Dashboard</a:t>
          </a:r>
          <a:endParaRPr lang="en-US" sz="1400"/>
        </a:p>
      </xdr:txBody>
    </xdr:sp>
    <xdr:clientData/>
  </xdr:twoCellAnchor>
  <xdr:twoCellAnchor>
    <xdr:from>
      <xdr:col>9</xdr:col>
      <xdr:colOff>54429</xdr:colOff>
      <xdr:row>0</xdr:row>
      <xdr:rowOff>32658</xdr:rowOff>
    </xdr:from>
    <xdr:to>
      <xdr:col>10</xdr:col>
      <xdr:colOff>522515</xdr:colOff>
      <xdr:row>0</xdr:row>
      <xdr:rowOff>555171</xdr:rowOff>
    </xdr:to>
    <xdr:sp macro="[0]!Input_Click_Depreciation_T" textlink="">
      <xdr:nvSpPr>
        <xdr:cNvPr id="3" name="Rectangle 2">
          <a:extLst>
            <a:ext uri="{FF2B5EF4-FFF2-40B4-BE49-F238E27FC236}">
              <a16:creationId xmlns:a16="http://schemas.microsoft.com/office/drawing/2014/main" id="{17DBDAAD-6381-4184-BA01-7E7A772080B9}"/>
            </a:ext>
          </a:extLst>
        </xdr:cNvPr>
        <xdr:cNvSpPr/>
      </xdr:nvSpPr>
      <xdr:spPr>
        <a:xfrm>
          <a:off x="8501743" y="32658"/>
          <a:ext cx="1649186" cy="522513"/>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CLICK:</a:t>
          </a:r>
          <a:r>
            <a:rPr lang="en-US" sz="1200" b="1" u="sng" baseline="0"/>
            <a:t> </a:t>
          </a:r>
          <a:r>
            <a:rPr lang="en-US" sz="1200" b="1" u="sng"/>
            <a:t>Depreciation Table</a:t>
          </a:r>
        </a:p>
      </xdr:txBody>
    </xdr:sp>
    <xdr:clientData/>
  </xdr:twoCellAnchor>
  <xdr:twoCellAnchor>
    <xdr:from>
      <xdr:col>5</xdr:col>
      <xdr:colOff>609600</xdr:colOff>
      <xdr:row>0</xdr:row>
      <xdr:rowOff>21771</xdr:rowOff>
    </xdr:from>
    <xdr:to>
      <xdr:col>7</xdr:col>
      <xdr:colOff>544286</xdr:colOff>
      <xdr:row>0</xdr:row>
      <xdr:rowOff>576942</xdr:rowOff>
    </xdr:to>
    <xdr:sp macro="[0]!Input_Click_Debt_Principal_Costs_T" textlink="">
      <xdr:nvSpPr>
        <xdr:cNvPr id="4" name="Rectangle 3">
          <a:extLst>
            <a:ext uri="{FF2B5EF4-FFF2-40B4-BE49-F238E27FC236}">
              <a16:creationId xmlns:a16="http://schemas.microsoft.com/office/drawing/2014/main" id="{C5073A72-BA02-4BAB-A90C-B513D179D799}"/>
            </a:ext>
          </a:extLst>
        </xdr:cNvPr>
        <xdr:cNvSpPr/>
      </xdr:nvSpPr>
      <xdr:spPr>
        <a:xfrm>
          <a:off x="3075214" y="21771"/>
          <a:ext cx="2155372" cy="555171"/>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t>CLICK:</a:t>
          </a:r>
          <a:r>
            <a:rPr lang="en-US" sz="1200" b="1" u="sng" baseline="0"/>
            <a:t> </a:t>
          </a:r>
          <a:r>
            <a:rPr lang="en-US" sz="1200" b="1" u="sng"/>
            <a:t>Tables for</a:t>
          </a:r>
          <a:r>
            <a:rPr lang="en-US" sz="1200" b="1" u="sng" baseline="0"/>
            <a:t> Principal payment and debt interest</a:t>
          </a:r>
          <a:endParaRPr lang="en-US" sz="1200" b="1" u="sng"/>
        </a:p>
      </xdr:txBody>
    </xdr:sp>
    <xdr:clientData/>
  </xdr:twoCellAnchor>
  <xdr:twoCellAnchor>
    <xdr:from>
      <xdr:col>7</xdr:col>
      <xdr:colOff>604157</xdr:colOff>
      <xdr:row>0</xdr:row>
      <xdr:rowOff>1</xdr:rowOff>
    </xdr:from>
    <xdr:to>
      <xdr:col>9</xdr:col>
      <xdr:colOff>10886</xdr:colOff>
      <xdr:row>0</xdr:row>
      <xdr:rowOff>538843</xdr:rowOff>
    </xdr:to>
    <xdr:sp macro="[0]!Input_Click_replacement_T" textlink="">
      <xdr:nvSpPr>
        <xdr:cNvPr id="5" name="Rectangle 4">
          <a:extLst>
            <a:ext uri="{FF2B5EF4-FFF2-40B4-BE49-F238E27FC236}">
              <a16:creationId xmlns:a16="http://schemas.microsoft.com/office/drawing/2014/main" id="{738D0C7F-D67F-4F85-9115-082D7B5BC9A7}"/>
            </a:ext>
          </a:extLst>
        </xdr:cNvPr>
        <xdr:cNvSpPr/>
      </xdr:nvSpPr>
      <xdr:spPr>
        <a:xfrm>
          <a:off x="6830786" y="1"/>
          <a:ext cx="1627414" cy="538842"/>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CLICK:</a:t>
          </a:r>
          <a:r>
            <a:rPr lang="en-US" sz="1200" b="1" u="sng" baseline="0"/>
            <a:t>  </a:t>
          </a:r>
          <a:r>
            <a:rPr lang="en-US" sz="1200" b="1" u="sng"/>
            <a:t>Replacement Cost Table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16328</xdr:colOff>
      <xdr:row>0</xdr:row>
      <xdr:rowOff>65314</xdr:rowOff>
    </xdr:from>
    <xdr:to>
      <xdr:col>8</xdr:col>
      <xdr:colOff>538842</xdr:colOff>
      <xdr:row>1</xdr:row>
      <xdr:rowOff>103414</xdr:rowOff>
    </xdr:to>
    <xdr:sp macro="[0]!Input_Click_replacement_F" textlink="">
      <xdr:nvSpPr>
        <xdr:cNvPr id="2" name="Rectangle 1">
          <a:extLst>
            <a:ext uri="{FF2B5EF4-FFF2-40B4-BE49-F238E27FC236}">
              <a16:creationId xmlns:a16="http://schemas.microsoft.com/office/drawing/2014/main" id="{82935998-A4AE-4A57-8AA2-D406712A0EA1}"/>
            </a:ext>
          </a:extLst>
        </xdr:cNvPr>
        <xdr:cNvSpPr/>
      </xdr:nvSpPr>
      <xdr:spPr>
        <a:xfrm>
          <a:off x="2911928" y="65314"/>
          <a:ext cx="3548743" cy="310243"/>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Cash Flow Analysis </a:t>
          </a:r>
          <a:endParaRPr lang="en-US" sz="16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157843</xdr:colOff>
      <xdr:row>0</xdr:row>
      <xdr:rowOff>87086</xdr:rowOff>
    </xdr:from>
    <xdr:to>
      <xdr:col>5</xdr:col>
      <xdr:colOff>642257</xdr:colOff>
      <xdr:row>1</xdr:row>
      <xdr:rowOff>146958</xdr:rowOff>
    </xdr:to>
    <xdr:sp macro="[0]!Input_Click_Depreciation_F" textlink="">
      <xdr:nvSpPr>
        <xdr:cNvPr id="2" name="Rectangle 1">
          <a:extLst>
            <a:ext uri="{FF2B5EF4-FFF2-40B4-BE49-F238E27FC236}">
              <a16:creationId xmlns:a16="http://schemas.microsoft.com/office/drawing/2014/main" id="{76A8C250-D61D-4209-B291-2BEC48D35329}"/>
            </a:ext>
          </a:extLst>
        </xdr:cNvPr>
        <xdr:cNvSpPr/>
      </xdr:nvSpPr>
      <xdr:spPr>
        <a:xfrm>
          <a:off x="3918857" y="87086"/>
          <a:ext cx="3238500"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600">
              <a:solidFill>
                <a:schemeClr val="lt1"/>
              </a:solidFill>
              <a:effectLst/>
              <a:latin typeface="+mn-lt"/>
              <a:ea typeface="+mn-ea"/>
              <a:cs typeface="+mn-cs"/>
            </a:rPr>
            <a:t>CLICK:</a:t>
          </a:r>
          <a:r>
            <a:rPr lang="en-US" sz="1600" baseline="0">
              <a:solidFill>
                <a:schemeClr val="lt1"/>
              </a:solidFill>
              <a:effectLst/>
              <a:latin typeface="+mn-lt"/>
              <a:ea typeface="+mn-ea"/>
              <a:cs typeface="+mn-cs"/>
            </a:rPr>
            <a:t> </a:t>
          </a:r>
          <a:r>
            <a:rPr lang="en-US" sz="1600">
              <a:solidFill>
                <a:schemeClr val="lt1"/>
              </a:solidFill>
              <a:effectLst/>
              <a:latin typeface="+mn-lt"/>
              <a:ea typeface="+mn-ea"/>
              <a:cs typeface="+mn-cs"/>
            </a:rPr>
            <a:t>Go</a:t>
          </a:r>
          <a:r>
            <a:rPr lang="en-US" sz="1600" baseline="0">
              <a:solidFill>
                <a:schemeClr val="lt1"/>
              </a:solidFill>
              <a:effectLst/>
              <a:latin typeface="+mn-lt"/>
              <a:ea typeface="+mn-ea"/>
              <a:cs typeface="+mn-cs"/>
            </a:rPr>
            <a:t> back to Cash Flow Analysis </a:t>
          </a:r>
          <a:endParaRPr lang="en-US" sz="1600">
            <a:effectLs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348343</xdr:colOff>
      <xdr:row>0</xdr:row>
      <xdr:rowOff>32658</xdr:rowOff>
    </xdr:from>
    <xdr:to>
      <xdr:col>5</xdr:col>
      <xdr:colOff>664029</xdr:colOff>
      <xdr:row>1</xdr:row>
      <xdr:rowOff>92530</xdr:rowOff>
    </xdr:to>
    <xdr:sp macro="[0]!Input_Click_Debt_Principal_Costs_F" textlink="">
      <xdr:nvSpPr>
        <xdr:cNvPr id="2" name="Rectangle 1">
          <a:extLst>
            <a:ext uri="{FF2B5EF4-FFF2-40B4-BE49-F238E27FC236}">
              <a16:creationId xmlns:a16="http://schemas.microsoft.com/office/drawing/2014/main" id="{EB97E024-8B1C-47F5-906C-0AA576BE0D18}"/>
            </a:ext>
          </a:extLst>
        </xdr:cNvPr>
        <xdr:cNvSpPr/>
      </xdr:nvSpPr>
      <xdr:spPr>
        <a:xfrm>
          <a:off x="3276600" y="32658"/>
          <a:ext cx="3243943"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600">
              <a:solidFill>
                <a:schemeClr val="lt1"/>
              </a:solidFill>
              <a:effectLst/>
              <a:latin typeface="+mn-lt"/>
              <a:ea typeface="+mn-ea"/>
              <a:cs typeface="+mn-cs"/>
            </a:rPr>
            <a:t>CLICK:</a:t>
          </a:r>
          <a:r>
            <a:rPr lang="en-US" sz="1600" baseline="0">
              <a:solidFill>
                <a:schemeClr val="lt1"/>
              </a:solidFill>
              <a:effectLst/>
              <a:latin typeface="+mn-lt"/>
              <a:ea typeface="+mn-ea"/>
              <a:cs typeface="+mn-cs"/>
            </a:rPr>
            <a:t> </a:t>
          </a:r>
          <a:r>
            <a:rPr lang="en-US" sz="1600">
              <a:solidFill>
                <a:schemeClr val="lt1"/>
              </a:solidFill>
              <a:effectLst/>
              <a:latin typeface="+mn-lt"/>
              <a:ea typeface="+mn-ea"/>
              <a:cs typeface="+mn-cs"/>
            </a:rPr>
            <a:t>Go</a:t>
          </a:r>
          <a:r>
            <a:rPr lang="en-US" sz="1600" baseline="0">
              <a:solidFill>
                <a:schemeClr val="lt1"/>
              </a:solidFill>
              <a:effectLst/>
              <a:latin typeface="+mn-lt"/>
              <a:ea typeface="+mn-ea"/>
              <a:cs typeface="+mn-cs"/>
            </a:rPr>
            <a:t> back to Cash Flow Analysis </a:t>
          </a:r>
          <a:endParaRPr lang="en-US" sz="1600">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97972</xdr:colOff>
      <xdr:row>0</xdr:row>
      <xdr:rowOff>136071</xdr:rowOff>
    </xdr:from>
    <xdr:to>
      <xdr:col>5</xdr:col>
      <xdr:colOff>348342</xdr:colOff>
      <xdr:row>0</xdr:row>
      <xdr:rowOff>468086</xdr:rowOff>
    </xdr:to>
    <xdr:sp macro="[0]!Input_Click_Add_SA_F" textlink="">
      <xdr:nvSpPr>
        <xdr:cNvPr id="2" name="Rectangle 1">
          <a:extLst>
            <a:ext uri="{FF2B5EF4-FFF2-40B4-BE49-F238E27FC236}">
              <a16:creationId xmlns:a16="http://schemas.microsoft.com/office/drawing/2014/main" id="{216ED54A-124E-4B31-B77D-158DFDE6DAD5}"/>
            </a:ext>
          </a:extLst>
        </xdr:cNvPr>
        <xdr:cNvSpPr/>
      </xdr:nvSpPr>
      <xdr:spPr>
        <a:xfrm>
          <a:off x="2715986" y="136071"/>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207158</xdr:colOff>
      <xdr:row>15</xdr:row>
      <xdr:rowOff>26602</xdr:rowOff>
    </xdr:from>
    <xdr:to>
      <xdr:col>19</xdr:col>
      <xdr:colOff>760063</xdr:colOff>
      <xdr:row>46</xdr:row>
      <xdr:rowOff>148092</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522061</xdr:colOff>
      <xdr:row>0</xdr:row>
      <xdr:rowOff>65315</xdr:rowOff>
    </xdr:from>
    <xdr:to>
      <xdr:col>20</xdr:col>
      <xdr:colOff>471034</xdr:colOff>
      <xdr:row>14</xdr:row>
      <xdr:rowOff>35152</xdr:rowOff>
    </xdr:to>
    <xdr:graphicFrame macro="">
      <xdr:nvGraphicFramePr>
        <xdr:cNvPr id="6" name="Chart 5">
          <a:extLst>
            <a:ext uri="{FF2B5EF4-FFF2-40B4-BE49-F238E27FC236}">
              <a16:creationId xmlns:a16="http://schemas.microsoft.com/office/drawing/2014/main" id="{B40CA989-E904-464E-B83E-C91B41F2E8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47900</xdr:colOff>
      <xdr:row>62</xdr:row>
      <xdr:rowOff>27213</xdr:rowOff>
    </xdr:from>
    <xdr:to>
      <xdr:col>9</xdr:col>
      <xdr:colOff>519252</xdr:colOff>
      <xdr:row>79</xdr:row>
      <xdr:rowOff>81642</xdr:rowOff>
    </xdr:to>
    <xdr:graphicFrame macro="">
      <xdr:nvGraphicFramePr>
        <xdr:cNvPr id="7" name="Chart 6">
          <a:extLst>
            <a:ext uri="{FF2B5EF4-FFF2-40B4-BE49-F238E27FC236}">
              <a16:creationId xmlns:a16="http://schemas.microsoft.com/office/drawing/2014/main" id="{BA2C174F-48CB-4C8A-B277-92E42BC985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76198</xdr:colOff>
      <xdr:row>97</xdr:row>
      <xdr:rowOff>117293</xdr:rowOff>
    </xdr:from>
    <xdr:to>
      <xdr:col>2</xdr:col>
      <xdr:colOff>1101632</xdr:colOff>
      <xdr:row>99</xdr:row>
      <xdr:rowOff>79192</xdr:rowOff>
    </xdr:to>
    <xdr:sp macro="[0]!Input_Click_Correlations_F" textlink="">
      <xdr:nvSpPr>
        <xdr:cNvPr id="8" name="Rectangle 7">
          <a:extLst>
            <a:ext uri="{FF2B5EF4-FFF2-40B4-BE49-F238E27FC236}">
              <a16:creationId xmlns:a16="http://schemas.microsoft.com/office/drawing/2014/main" id="{78953A27-4572-44A7-B8D1-4EB4D306BD8D}"/>
            </a:ext>
          </a:extLst>
        </xdr:cNvPr>
        <xdr:cNvSpPr/>
      </xdr:nvSpPr>
      <xdr:spPr>
        <a:xfrm>
          <a:off x="76198" y="13509443"/>
          <a:ext cx="5197384" cy="323849"/>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twoCellAnchor>
    <xdr:from>
      <xdr:col>0</xdr:col>
      <xdr:colOff>146958</xdr:colOff>
      <xdr:row>62</xdr:row>
      <xdr:rowOff>38099</xdr:rowOff>
    </xdr:from>
    <xdr:to>
      <xdr:col>4</xdr:col>
      <xdr:colOff>2</xdr:colOff>
      <xdr:row>79</xdr:row>
      <xdr:rowOff>92527</xdr:rowOff>
    </xdr:to>
    <xdr:graphicFrame macro="">
      <xdr:nvGraphicFramePr>
        <xdr:cNvPr id="13" name="Chart 12">
          <a:extLst>
            <a:ext uri="{FF2B5EF4-FFF2-40B4-BE49-F238E27FC236}">
              <a16:creationId xmlns:a16="http://schemas.microsoft.com/office/drawing/2014/main" id="{C50C2BCF-0AAB-497C-A88D-D1D1C253E5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687842</xdr:colOff>
      <xdr:row>0</xdr:row>
      <xdr:rowOff>117249</xdr:rowOff>
    </xdr:from>
    <xdr:to>
      <xdr:col>28</xdr:col>
      <xdr:colOff>639536</xdr:colOff>
      <xdr:row>14</xdr:row>
      <xdr:rowOff>88900</xdr:rowOff>
    </xdr:to>
    <xdr:graphicFrame macro="">
      <xdr:nvGraphicFramePr>
        <xdr:cNvPr id="2" name="Chart 1">
          <a:extLst>
            <a:ext uri="{FF2B5EF4-FFF2-40B4-BE49-F238E27FC236}">
              <a16:creationId xmlns:a16="http://schemas.microsoft.com/office/drawing/2014/main" id="{74D7BCC1-A108-45C0-A460-356C4F698A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CHENW\Box\LWRS\FY24\2_Gulf%20Coast%20TEA%20(Knighton)\Dan_TEA_model\WC_500MW_SOEC%20HFTO%20complete%20rev_02f%20(IRA%20PTC%20-%202022%20indices).xlsm" TargetMode="External"/><Relationship Id="rId1" Type="http://schemas.openxmlformats.org/officeDocument/2006/relationships/externalLinkPath" Target="/Users/CHENW/Box/LWRS/FY24/2_Gulf%20Coast%20TEA%20(Knighton)/Dan_TEA_model/WC_500MW_SOEC%20HFTO%20complete%20rev_02f%20(IRA%20PTC%20-%202022%20indices).xlsm" TargetMode="External"/></Relationships>
</file>

<file path=xl/persons/person.xml><?xml version="1.0" encoding="utf-8"?>
<personList xmlns="http://schemas.microsoft.com/office/spreadsheetml/2018/threadedcomments" xmlns:x="http://schemas.openxmlformats.org/spreadsheetml/2006/main">
  <person displayName="Wen-Chi Cheng" id="{1A121D12-39C0-4E05-99C3-B0D371F776EC}" userId="S::WenChi.Cheng@inl.gov::38114d4a-9139-4cf6-bd99-5080a9d46302"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3" dT="2024-09-25T18:58:41.31" personId="{1A121D12-39C0-4E05-99C3-B0D371F776EC}" id="{66507657-5843-45D7-811C-01E6748D171B}">
    <text>The maximum allowable plant life would be 40 years.</text>
  </threadedComment>
  <threadedComment ref="V6" dT="2024-02-02T20:13:18.08" personId="{1A121D12-39C0-4E05-99C3-B0D371F776EC}" id="{B22AB5B7-0594-43A8-9B72-75810B673D94}">
    <text>Select "HYBRID" mode if you are looking at electricity and H2 production together.</text>
  </threadedComment>
  <threadedComment ref="AD10" dT="2023-10-18T23:37:08.72" personId="{1A121D12-39C0-4E05-99C3-B0D371F776EC}" id="{957AF3C8-BDB9-4C09-BB60-FB240F30A68D}">
    <text xml:space="preserve">Note that the equations here do not incorporate the inflation rates and the user may want to set the inflation rate be zero by clicking "Additional Inputs Information" and put '0" in Cell "E44". </text>
  </threadedComment>
  <threadedComment ref="AB12" dT="2024-05-21T15:51:09.00" personId="{1A121D12-39C0-4E05-99C3-B0D371F776EC}" id="{B659666B-D890-4488-B1F7-88DDD8360DDF}">
    <text>The user may need to click "CLICK: LCOH Breakdowns" to see the detailed calculations in real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S3" dT="2023-02-16T21:35:44.15" personId="{1A121D12-39C0-4E05-99C3-B0D371F776EC}" id="{64CF14B6-0C06-4DAE-973E-60EDD4E57D87}">
    <text>Note that these values are calculated based on the operating cost data</text>
  </threadedComment>
</ThreadedComments>
</file>

<file path=xl/threadedComments/threadedComment3.xml><?xml version="1.0" encoding="utf-8"?>
<ThreadedComments xmlns="http://schemas.microsoft.com/office/spreadsheetml/2018/threadedcomments" xmlns:x="http://schemas.openxmlformats.org/spreadsheetml/2006/main">
  <threadedComment ref="AB12" dT="2023-04-06T17:24:52.48" personId="{1A121D12-39C0-4E05-99C3-B0D371F776EC}" id="{F93097E8-C454-4FF0-ACC7-F84CDA068138}">
    <text>Data sources: Table A-1 from https://www.irs.gov/publications/p946</text>
    <extLst>
      <x:ext xmlns:xltc2="http://schemas.microsoft.com/office/spreadsheetml/2020/threadedcomments2" uri="{F7C98A9C-CBB3-438F-8F68-D28B6AF4A901}">
        <xltc2:checksum>802478908</xltc2:checksum>
        <xltc2:hyperlink startIndex="29" length="37" url="https://www.irs.gov/publications/p946"/>
      </x:ext>
    </extLst>
  </threadedComment>
</ThreadedComments>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wenchi.cheng@inl.gov" TargetMode="Externa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microsoft.com/office/2006/relationships/xlBinaryIndex" Target="binaryIndex3.bin"/><Relationship Id="rId5" Type="http://schemas.openxmlformats.org/officeDocument/2006/relationships/comments" Target="../comments2.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s://www.engineeringtoolbox.com/water-density-specific-weight-d_595.html" TargetMode="External"/><Relationship Id="rId7" Type="http://schemas.openxmlformats.org/officeDocument/2006/relationships/hyperlink" Target="https://www.nrc.gov/info-finder/reactors/ano1.html" TargetMode="External"/><Relationship Id="rId12" Type="http://schemas.openxmlformats.org/officeDocument/2006/relationships/comments" Target="../comments3.bin"/><Relationship Id="rId2" Type="http://schemas.openxmlformats.org/officeDocument/2006/relationships/hyperlink" Target="https://www.engineeringtoolbox.com/water-density-specific-weight-d_595.html" TargetMode="External"/><Relationship Id="rId1" Type="http://schemas.microsoft.com/office/2006/relationships/xlBinaryIndex" Target="binaryIndex4.bin"/><Relationship Id="rId6" Type="http://schemas.openxmlformats.org/officeDocument/2006/relationships/hyperlink" Target="https://www.investopedia.com/terms/c/costofdebt.asp" TargetMode="External"/><Relationship Id="rId11" Type="http://schemas.openxmlformats.org/officeDocument/2006/relationships/table" Target="../tables/table2.bin"/><Relationship Id="rId5" Type="http://schemas.openxmlformats.org/officeDocument/2006/relationships/hyperlink" Target="https://www.investopedia.com/terms/c/costofdebt.asp" TargetMode="External"/><Relationship Id="rId10" Type="http://schemas.openxmlformats.org/officeDocument/2006/relationships/vmlDrawing" Target="../drawings/vmlDrawing3.vml"/><Relationship Id="rId4" Type="http://schemas.openxmlformats.org/officeDocument/2006/relationships/hyperlink" Target="https://www.investopedia.com/terms/w/wacc.asp" TargetMode="External"/><Relationship Id="rId9" Type="http://schemas.openxmlformats.org/officeDocument/2006/relationships/drawing" Target="../drawings/drawing3.xml"/></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microsoft.com/office/2006/relationships/xlBinaryIndex" Target="binaryIndex5.bin"/><Relationship Id="rId4" Type="http://schemas.openxmlformats.org/officeDocument/2006/relationships/comments" Target="../comments4.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microsoft.com/office/2006/relationships/xlBinaryIndex" Target="binaryIndex7.bin"/><Relationship Id="rId6" Type="http://schemas.microsoft.com/office/2017/10/relationships/threadedComment" Target="../threadedComments/threadedComment2.xml"/><Relationship Id="rId5" Type="http://schemas.openxmlformats.org/officeDocument/2006/relationships/comments" Target="../comments5.bin"/><Relationship Id="rId4" Type="http://schemas.openxmlformats.org/officeDocument/2006/relationships/vmlDrawing" Target="../drawings/vmlDrawing5.vml"/></Relationships>
</file>

<file path=xl/worksheets/_rels/sheet8.bin.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6.bin"/><Relationship Id="rId1" Type="http://schemas.microsoft.com/office/2006/relationships/xlBinaryIndex" Target="binaryIndex8.bin"/><Relationship Id="rId4" Type="http://schemas.openxmlformats.org/officeDocument/2006/relationships/comments" Target="../comments6.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0.bin"/><Relationship Id="rId6" Type="http://schemas.microsoft.com/office/2017/10/relationships/threadedComment" Target="../threadedComments/threadedComment3.xml"/><Relationship Id="rId5" Type="http://schemas.openxmlformats.org/officeDocument/2006/relationships/comments" Target="../comments7.bin"/><Relationship Id="rId4" Type="http://schemas.openxmlformats.org/officeDocument/2006/relationships/vmlDrawing" Target="../drawings/vmlDrawing7.vml"/></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C75F4445D4C849B44EB4188CD7A0B9" ma:contentTypeVersion="2" ma:contentTypeDescription="Create a new document." ma:contentTypeScope="" ma:versionID="13f7533cd9a25d6ea2afa26f9382255a">
  <xsd:schema xmlns:xsd="http://www.w3.org/2001/XMLSchema" xmlns:xs="http://www.w3.org/2001/XMLSchema" xmlns:p="http://schemas.microsoft.com/office/2006/metadata/properties" xmlns:ns3="54b02d87-781b-4a6c-8866-67f17203d480" targetNamespace="http://schemas.microsoft.com/office/2006/metadata/properties" ma:root="true" ma:fieldsID="e94579c3c8072fc163cdb898ed651531" ns3:_="">
    <xsd:import namespace="54b02d87-781b-4a6c-8866-67f17203d480"/>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b02d87-781b-4a6c-8866-67f17203d4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7B6DEBA-E82F-4FD7-AB3B-AD1803D904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b02d87-781b-4a6c-8866-67f17203d4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9A551FE-7003-42C4-90FA-B78BD7CBAA2A}">
  <ds:schemaRefs>
    <ds:schemaRef ds:uri="http://schemas.microsoft.com/sharepoint/v3/contenttype/forms"/>
  </ds:schemaRefs>
</ds:datastoreItem>
</file>

<file path=customXml/itemProps3.xml><?xml version="1.0" encoding="utf-8"?>
<ds:datastoreItem xmlns:ds="http://schemas.openxmlformats.org/officeDocument/2006/customXml" ds:itemID="{00C2D98A-48EA-4648-A6D6-798CC9A1719D}">
  <ds:schemaRefs>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54b02d87-781b-4a6c-8866-67f17203d480"/>
    <ds:schemaRef ds:uri="http://www.w3.org/XML/1998/namespace"/>
    <ds:schemaRef ds:uri="http://schemas.microsoft.com/office/2006/metadata/properties"/>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21</vt:i4>
      </vt:variant>
    </vt:vector>
  </HeadingPairs>
  <TitlesOfParts>
    <vt:vector size="34" baseType="lpstr">
      <vt:lpstr>Tool Information</vt:lpstr>
      <vt:lpstr>Dashboard</vt:lpstr>
      <vt:lpstr>Input (Default)</vt:lpstr>
      <vt:lpstr>Inputs (Add)</vt:lpstr>
      <vt:lpstr>Elec_NG_Price</vt:lpstr>
      <vt:lpstr>LCOH</vt:lpstr>
      <vt:lpstr>NPV</vt:lpstr>
      <vt:lpstr>Proforma</vt:lpstr>
      <vt:lpstr>Replacement</vt:lpstr>
      <vt:lpstr>Depreciation</vt:lpstr>
      <vt:lpstr>Debt-Principal Costs</vt:lpstr>
      <vt:lpstr>Sensitivity_Tornado</vt:lpstr>
      <vt:lpstr>Correlations</vt:lpstr>
      <vt:lpstr>CEPCI_2020</vt:lpstr>
      <vt:lpstr>CEPCI_2022</vt:lpstr>
      <vt:lpstr>direct_cap</vt:lpstr>
      <vt:lpstr>ele_usage</vt:lpstr>
      <vt:lpstr>electricity_price</vt:lpstr>
      <vt:lpstr>H2_market_price</vt:lpstr>
      <vt:lpstr>LCOE</vt:lpstr>
      <vt:lpstr>length_construction_period</vt:lpstr>
      <vt:lpstr>MACRS_Table</vt:lpstr>
      <vt:lpstr>mode_electrolyzer</vt:lpstr>
      <vt:lpstr>mode_gen</vt:lpstr>
      <vt:lpstr>mode_tax</vt:lpstr>
      <vt:lpstr>plant_type</vt:lpstr>
      <vt:lpstr>recovery_period</vt:lpstr>
      <vt:lpstr>recovery_year</vt:lpstr>
      <vt:lpstr>regulated_thermal_price</vt:lpstr>
      <vt:lpstr>Start_up_period</vt:lpstr>
      <vt:lpstr>startup_year</vt:lpstr>
      <vt:lpstr>thermal_eff</vt:lpstr>
      <vt:lpstr>thermal_usage</vt:lpstr>
      <vt:lpstr>year_current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Wen-Chi Cheng</dc:creator>
  <cp:lastModifiedBy>Wen-Chi Cheng</cp:lastModifiedBy>
  <cp:lastPrinted>2023-12-07T00:49:27Z</cp:lastPrinted>
  <dcterms:created xsi:type="dcterms:W3CDTF">2023-02-16T14:18:08Z</dcterms:created>
  <dcterms:modified xsi:type="dcterms:W3CDTF">2025-03-10T22:11:07Z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0x010100FAC75F4445D4C849B44EB4188CD7A0B9</vt:lpwstr>
  </property>
</Properties>
</file>