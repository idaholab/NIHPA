
<file path=[Content_Types].xml><?xml version="1.0" encoding="utf-8"?>
<Types xmlns="http://schemas.openxmlformats.org/package/2006/content-types">
  <Default Extension="bin" ContentType="application/vnd.ms-excel.sheet.binary.macroEnabled.main"/>
  <Default Extension="rels" ContentType="application/vnd.openxmlformats-package.relationships+xml"/>
  <Default Extension="vml" ContentType="application/vnd.openxmlformats-officedocument.vmlDrawing"/>
  <Default Extension="xml" ContentType="application/xml"/>
  <Override PartName="/xl/worksheets/sheet1.bin" ContentType="application/vnd.ms-excel.worksheet"/>
  <Override PartName="/xl/worksheets/binaryIndex1.bin" ContentType="application/vnd.ms-excel.binIndexWs"/>
  <Override PartName="/xl/worksheets/sheet2.bin" ContentType="application/vnd.ms-excel.worksheet"/>
  <Override PartName="/xl/worksheets/binaryIndex2.bin" ContentType="application/vnd.ms-excel.binIndexWs"/>
  <Override PartName="/xl/worksheets/sheet3.bin" ContentType="application/vnd.ms-excel.worksheet"/>
  <Override PartName="/xl/worksheets/binaryIndex3.bin" ContentType="application/vnd.ms-excel.binIndexWs"/>
  <Override PartName="/xl/worksheets/sheet4.bin" ContentType="application/vnd.ms-excel.worksheet"/>
  <Override PartName="/xl/worksheets/binaryIndex4.bin" ContentType="application/vnd.ms-excel.binIndexWs"/>
  <Override PartName="/xl/worksheets/sheet5.bin" ContentType="application/vnd.ms-excel.worksheet"/>
  <Override PartName="/xl/worksheets/binaryIndex5.bin" ContentType="application/vnd.ms-excel.binIndexWs"/>
  <Override PartName="/xl/worksheets/sheet6.bin" ContentType="application/vnd.ms-excel.worksheet"/>
  <Override PartName="/xl/worksheets/binaryIndex6.bin" ContentType="application/vnd.ms-excel.binIndexWs"/>
  <Override PartName="/xl/worksheets/sheet7.bin" ContentType="application/vnd.ms-excel.worksheet"/>
  <Override PartName="/xl/worksheets/binaryIndex7.bin" ContentType="application/vnd.ms-excel.binIndexWs"/>
  <Override PartName="/xl/worksheets/sheet8.bin" ContentType="application/vnd.ms-excel.worksheet"/>
  <Override PartName="/xl/worksheets/binaryIndex8.bin" ContentType="application/vnd.ms-excel.binIndexWs"/>
  <Override PartName="/xl/worksheets/sheet9.bin" ContentType="application/vnd.ms-excel.worksheet"/>
  <Override PartName="/xl/worksheets/binaryIndex9.bin" ContentType="application/vnd.ms-excel.binIndexWs"/>
  <Override PartName="/xl/worksheets/sheet10.bin" ContentType="application/vnd.ms-excel.worksheet"/>
  <Override PartName="/xl/worksheets/binaryIndex10.bin" ContentType="application/vnd.ms-excel.binIndexWs"/>
  <Override PartName="/xl/worksheets/sheet11.bin" ContentType="application/vnd.ms-excel.worksheet"/>
  <Override PartName="/xl/worksheets/binaryIndex11.bin" ContentType="application/vnd.ms-excel.binIndexWs"/>
  <Override PartName="/xl/worksheets/sheet12.bin" ContentType="application/vnd.ms-excel.worksheet"/>
  <Override PartName="/xl/worksheets/binaryIndex12.bin" ContentType="application/vnd.ms-excel.binIndexWs"/>
  <Override PartName="/xl/worksheets/sheet13.bin" ContentType="application/vnd.ms-excel.worksheet"/>
  <Override PartName="/xl/worksheets/binaryIndex13.bin" ContentType="application/vnd.ms-excel.binIndexWs"/>
  <Override PartName="/xl/worksheets/sheet14.bin" ContentType="application/vnd.ms-excel.worksheet"/>
  <Override PartName="/xl/worksheets/binaryIndex14.bin" ContentType="application/vnd.ms-excel.binIndexWs"/>
  <Override PartName="/xl/externalLinks/externalLink1.bin" ContentType="application/vnd.ms-excel.externalLink"/>
  <Override PartName="/xl/theme/theme1.xml" ContentType="application/vnd.openxmlformats-officedocument.theme+xml"/>
  <Override PartName="/xl/styles.bin" ContentType="application/vnd.ms-excel.styles"/>
  <Override PartName="/xl/sharedStrings.bin" ContentType="application/vnd.ms-excel.sharedStrings"/>
  <Override PartName="/xl/metadata.bin" ContentType="application/vnd.ms-excel.sheetMetadata"/>
  <Override PartName="/xl/printerSettings/printerSettings1.bin" ContentType="application/vnd.openxmlformats-officedocument.spreadsheetml.printerSettings"/>
  <Override PartName="/xl/printerSettings/printerSettings2.bin" ContentType="application/vnd.openxmlformats-officedocument.spreadsheetml.printerSettings"/>
  <Override PartName="/xl/drawings/drawing1.xml" ContentType="application/vnd.openxmlformats-officedocument.drawing+xml"/>
  <Override PartName="/xl/comments1.bin" ContentType="application/vnd.ms-excel.comments"/>
  <Override PartName="/xl/threadedComments/threadedComment1.xml" ContentType="application/vnd.ms-excel.threaded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drawings/drawing2.xml" ContentType="application/vnd.openxmlformats-officedocument.drawing+xml"/>
  <Override PartName="/xl/tables/table1.bin" ContentType="application/vnd.ms-excel.table"/>
  <Override PartName="/xl/comments2.bin" ContentType="application/vnd.ms-excel.comments"/>
  <Override PartName="/xl/printerSettings/printerSettings3.bin" ContentType="application/vnd.openxmlformats-officedocument.spreadsheetml.printerSettings"/>
  <Override PartName="/xl/drawings/drawing3.xml" ContentType="application/vnd.openxmlformats-officedocument.drawing+xml"/>
  <Override PartName="/xl/tables/table2.bin" ContentType="application/vnd.ms-excel.table"/>
  <Override PartName="/xl/comments3.bin" ContentType="application/vnd.ms-excel.comments"/>
  <Override PartName="/xl/drawings/drawing4.xml" ContentType="application/vnd.openxmlformats-officedocument.drawing+xml"/>
  <Override PartName="/xl/comments4.bin" ContentType="application/vnd.ms-excel.comments"/>
  <Override PartName="/xl/printerSettings/printerSettings4.bin" ContentType="application/vnd.openxmlformats-officedocument.spreadsheetml.printerSettings"/>
  <Override PartName="/xl/drawings/drawing5.xml" ContentType="application/vnd.openxmlformats-officedocument.drawing+xml"/>
  <Override PartName="/xl/printerSettings/printerSettings5.bin" ContentType="application/vnd.openxmlformats-officedocument.spreadsheetml.printerSettings"/>
  <Override PartName="/xl/drawings/drawing6.xml" ContentType="application/vnd.openxmlformats-officedocument.drawing+xml"/>
  <Override PartName="/xl/comments5.bin" ContentType="application/vnd.ms-excel.comments"/>
  <Override PartName="/xl/threadedComments/threadedComment2.xml" ContentType="application/vnd.ms-excel.threadedcomments+xml"/>
  <Override PartName="/xl/printerSettings/printerSettings6.bin" ContentType="application/vnd.openxmlformats-officedocument.spreadsheetml.printerSettings"/>
  <Override PartName="/xl/comments6.bin" ContentType="application/vnd.ms-excel.comments"/>
  <Override PartName="/xl/printerSettings/printerSettings7.bin" ContentType="application/vnd.openxmlformats-officedocument.spreadsheetml.printerSettings"/>
  <Override PartName="/xl/drawings/drawing7.xml" ContentType="application/vnd.openxmlformats-officedocument.drawing+xml"/>
  <Override PartName="/xl/printerSettings/printerSettings8.bin" ContentType="application/vnd.openxmlformats-officedocument.spreadsheetml.printerSettings"/>
  <Override PartName="/xl/drawings/drawing8.xml" ContentType="application/vnd.openxmlformats-officedocument.drawing+xml"/>
  <Override PartName="/xl/comments7.bin" ContentType="application/vnd.ms-excel.comments"/>
  <Override PartName="/xl/threadedComments/threadedComment3.xml" ContentType="application/vnd.ms-excel.threadedcomments+xml"/>
  <Override PartName="/xl/drawings/drawing9.xml" ContentType="application/vnd.openxmlformats-officedocument.drawing+xml"/>
  <Override PartName="/xl/printerSettings/printerSettings9.bin" ContentType="application/vnd.openxmlformats-officedocument.spreadsheetml.printerSettings"/>
  <Override PartName="/xl/drawings/drawing10.xml" ContentType="application/vnd.openxmlformats-officedocument.drawing+xml"/>
  <Override PartName="/xl/printerSettings/printerSettings10.bin" ContentType="application/vnd.openxmlformats-officedocument.spreadsheetml.printerSettings"/>
  <Override PartName="/xl/drawings/drawing11.xml" ContentType="application/vnd.openxmlformats-officedocument.drawing+xml"/>
  <Override PartName="/xl/printerSettings/printerSettings11.bin" ContentType="application/vnd.openxmlformats-officedocument.spreadsheetml.printerSettings"/>
  <Override PartName="/xl/drawings/drawing12.xml" ContentType="application/vnd.openxmlformats-officedocument.drawing+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persons/person.xml" ContentType="application/vnd.ms-excel.person+xml"/>
  <Override PartName="/xl/calcChain.bin" ContentType="application/vnd.ms-excel.calcChain"/>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bin"/><Relationship Id="rId4" Type="http://schemas.openxmlformats.org/officeDocument/2006/relationships/custom-properties" Target="docProps/custom.xml"/></Relationships>
</file>

<file path=xl/_rels/workbook.bin.rels><?xml version="1.0" encoding="UTF-8" standalone="yes"?>
<Relationships xmlns="http://schemas.openxmlformats.org/package/2006/relationships"><Relationship Id="rId8" Type="http://schemas.openxmlformats.org/officeDocument/2006/relationships/worksheet" Target="worksheets/sheet8.bin"/><Relationship Id="rId13" Type="http://schemas.openxmlformats.org/officeDocument/2006/relationships/worksheet" Target="worksheets/sheet13.bin"/><Relationship Id="rId18" Type="http://schemas.openxmlformats.org/officeDocument/2006/relationships/sharedStrings" Target="sharedStrings.bin"/><Relationship Id="rId3" Type="http://schemas.openxmlformats.org/officeDocument/2006/relationships/worksheet" Target="worksheets/sheet3.bin"/><Relationship Id="rId21" Type="http://schemas.openxmlformats.org/officeDocument/2006/relationships/calcChain" Target="calcChain.bin"/><Relationship Id="rId7" Type="http://schemas.openxmlformats.org/officeDocument/2006/relationships/worksheet" Target="worksheets/sheet7.bin"/><Relationship Id="rId12" Type="http://schemas.openxmlformats.org/officeDocument/2006/relationships/worksheet" Target="worksheets/sheet12.bin"/><Relationship Id="rId17" Type="http://schemas.openxmlformats.org/officeDocument/2006/relationships/styles" Target="styles.bin"/><Relationship Id="rId25" Type="http://schemas.microsoft.com/office/2006/relationships/vbaProject" Target="vbaProject.bin"/><Relationship Id="rId2" Type="http://schemas.openxmlformats.org/officeDocument/2006/relationships/worksheet" Target="worksheets/sheet2.bin"/><Relationship Id="rId16" Type="http://schemas.openxmlformats.org/officeDocument/2006/relationships/theme" Target="theme/theme1.xml"/><Relationship Id="rId20" Type="http://schemas.microsoft.com/office/2017/10/relationships/person" Target="persons/person.xml"/><Relationship Id="rId1" Type="http://schemas.openxmlformats.org/officeDocument/2006/relationships/worksheet" Target="worksheets/sheet1.bin"/><Relationship Id="rId6" Type="http://schemas.openxmlformats.org/officeDocument/2006/relationships/worksheet" Target="worksheets/sheet6.bin"/><Relationship Id="rId11" Type="http://schemas.openxmlformats.org/officeDocument/2006/relationships/worksheet" Target="worksheets/sheet11.bin"/><Relationship Id="rId24" Type="http://schemas.openxmlformats.org/officeDocument/2006/relationships/customXml" Target="../customXml/item3.xml"/><Relationship Id="rId5" Type="http://schemas.openxmlformats.org/officeDocument/2006/relationships/worksheet" Target="worksheets/sheet5.bin"/><Relationship Id="rId15" Type="http://schemas.openxmlformats.org/officeDocument/2006/relationships/externalLink" Target="externalLinks/externalLink1.bin"/><Relationship Id="rId23" Type="http://schemas.openxmlformats.org/officeDocument/2006/relationships/customXml" Target="../customXml/item2.xml"/><Relationship Id="rId10" Type="http://schemas.openxmlformats.org/officeDocument/2006/relationships/worksheet" Target="worksheets/sheet10.bin"/><Relationship Id="rId19" Type="http://schemas.openxmlformats.org/officeDocument/2006/relationships/sheetMetadata" Target="metadata.bin"/><Relationship Id="rId4" Type="http://schemas.openxmlformats.org/officeDocument/2006/relationships/worksheet" Target="worksheets/sheet4.bin"/><Relationship Id="rId9" Type="http://schemas.openxmlformats.org/officeDocument/2006/relationships/worksheet" Target="worksheets/sheet9.bin"/><Relationship Id="rId14" Type="http://schemas.openxmlformats.org/officeDocument/2006/relationships/worksheet" Target="worksheets/sheet14.bin"/><Relationship Id="rId22" Type="http://schemas.openxmlformats.org/officeDocument/2006/relationships/customXml" Target="../customXml/item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Preference_Analysis!$A$1</c:f>
          <c:strCache>
            <c:ptCount val="1"/>
            <c:pt idx="0">
              <c:v>(a) H2 Production through HTSE vs. Business as Usual (BAU)</c:v>
            </c:pt>
          </c:strCache>
        </c:strRef>
      </c:tx>
      <c:layout>
        <c:manualLayout>
          <c:xMode val="edge"/>
          <c:yMode val="edge"/>
          <c:x val="1.6506530312068987E-2"/>
          <c:y val="2.8076871626134072E-3"/>
        </c:manualLayout>
      </c:layout>
      <c:overlay val="0"/>
      <c:spPr>
        <a:noFill/>
        <a:ln>
          <a:noFill/>
        </a:ln>
        <a:effectLst/>
      </c:spPr>
      <c:txPr>
        <a:bodyPr rot="0" spcFirstLastPara="1" vertOverflow="ellipsis" vert="horz" wrap="square" anchor="ctr" anchorCtr="1"/>
        <a:lstStyle/>
        <a:p>
          <a:pPr>
            <a:defRPr sz="1600" b="1" i="0" u="none" strike="noStrike" kern="1200" spc="0" baseline="0">
              <a:solidFill>
                <a:sysClr val="windowText" lastClr="000000"/>
              </a:solidFill>
              <a:latin typeface="+mn-lt"/>
              <a:ea typeface="+mn-ea"/>
              <a:cs typeface="+mn-cs"/>
            </a:defRPr>
          </a:pPr>
          <a:endParaRPr lang="en-US"/>
        </a:p>
      </c:txPr>
    </c:title>
    <c:autoTitleDeleted val="0"/>
    <c:plotArea>
      <c:layout>
        <c:manualLayout>
          <c:layoutTarget val="inner"/>
          <c:xMode val="edge"/>
          <c:yMode val="edge"/>
          <c:x val="0.11711209707503202"/>
          <c:y val="0.10472846169236887"/>
          <c:w val="0.52882705678074793"/>
          <c:h val="0.72922414497834154"/>
        </c:manualLayout>
      </c:layout>
      <c:areaChart>
        <c:grouping val="stacked"/>
        <c:varyColors val="0"/>
        <c:ser>
          <c:idx val="6"/>
          <c:order val="6"/>
          <c:tx>
            <c:strRef>
              <c:f>Dashboard!$X$71</c:f>
              <c:strCache>
                <c:ptCount val="1"/>
                <c:pt idx="0">
                  <c:v>Preferable (NPV_H2 ≥ NPV_BAU)</c:v>
                </c:pt>
              </c:strCache>
              <c:extLst xmlns:c15="http://schemas.microsoft.com/office/drawing/2012/chart"/>
            </c:strRef>
          </c:tx>
          <c:spPr>
            <a:solidFill>
              <a:srgbClr val="C6EFCE"/>
            </a:solidFill>
            <a:ln>
              <a:noFill/>
            </a:ln>
            <a:effectLst/>
          </c:spPr>
          <c:cat>
            <c:numRef>
              <c:f>Preference_Analysis!$Y$2:$Y$19</c:f>
              <c:numCache>
                <c:formatCode>"$"#,##0.00</c:formatCode>
                <c:ptCount val="18"/>
                <c:pt idx="0">
                  <c:v>-195.62365208579743</c:v>
                </c:pt>
                <c:pt idx="1">
                  <c:v>-128.25608689455993</c:v>
                </c:pt>
                <c:pt idx="2">
                  <c:v>-112.35780243721307</c:v>
                </c:pt>
                <c:pt idx="3">
                  <c:v>-60.888521703322517</c:v>
                </c:pt>
                <c:pt idx="4">
                  <c:v>-44.990237245975578</c:v>
                </c:pt>
                <c:pt idx="5">
                  <c:v>-22.408758837998018</c:v>
                </c:pt>
                <c:pt idx="6">
                  <c:v>-3.226096906123483</c:v>
                </c:pt>
                <c:pt idx="7">
                  <c:v>34.381510611605989</c:v>
                </c:pt>
                <c:pt idx="8">
                  <c:v>82.136316299178077</c:v>
                </c:pt>
                <c:pt idx="9">
                  <c:v>112.08222361506259</c:v>
                </c:pt>
                <c:pt idx="10">
                  <c:v>148.28925071428444</c:v>
                </c:pt>
                <c:pt idx="11">
                  <c:v>193.20592439357102</c:v>
                </c:pt>
                <c:pt idx="12">
                  <c:v>214.0703234580815</c:v>
                </c:pt>
                <c:pt idx="13">
                  <c:v>240.72016365836998</c:v>
                </c:pt>
                <c:pt idx="14">
                  <c:v>291.50534916395685</c:v>
                </c:pt>
                <c:pt idx="15">
                  <c:v>341.82221057349375</c:v>
                </c:pt>
                <c:pt idx="16">
                  <c:v>392.1390719830307</c:v>
                </c:pt>
                <c:pt idx="17">
                  <c:v>442.45593339256783</c:v>
                </c:pt>
              </c:numCache>
            </c:numRef>
          </c:cat>
          <c:val>
            <c:numRef>
              <c:f>Preference_Analysis!$W$2:$W$19</c:f>
              <c:numCache>
                <c:formatCode>"$"#,##0.00</c:formatCode>
                <c:ptCount val="18"/>
                <c:pt idx="0" formatCode="General">
                  <c:v>0</c:v>
                </c:pt>
                <c:pt idx="1">
                  <c:v>0</c:v>
                </c:pt>
                <c:pt idx="2">
                  <c:v>0</c:v>
                </c:pt>
                <c:pt idx="3">
                  <c:v>0</c:v>
                </c:pt>
                <c:pt idx="4">
                  <c:v>0</c:v>
                </c:pt>
                <c:pt idx="5">
                  <c:v>0</c:v>
                </c:pt>
                <c:pt idx="6">
                  <c:v>0</c:v>
                </c:pt>
                <c:pt idx="7">
                  <c:v>0</c:v>
                </c:pt>
                <c:pt idx="8">
                  <c:v>18</c:v>
                </c:pt>
                <c:pt idx="9">
                  <c:v>36</c:v>
                </c:pt>
                <c:pt idx="10">
                  <c:v>54</c:v>
                </c:pt>
                <c:pt idx="11">
                  <c:v>72</c:v>
                </c:pt>
                <c:pt idx="12">
                  <c:v>81.268448253507387</c:v>
                </c:pt>
                <c:pt idx="13">
                  <c:v>72</c:v>
                </c:pt>
                <c:pt idx="14">
                  <c:v>54</c:v>
                </c:pt>
                <c:pt idx="15">
                  <c:v>36</c:v>
                </c:pt>
                <c:pt idx="16">
                  <c:v>18</c:v>
                </c:pt>
                <c:pt idx="17">
                  <c:v>0</c:v>
                </c:pt>
              </c:numCache>
            </c:numRef>
          </c:val>
          <c:extLst xmlns:c15="http://schemas.microsoft.com/office/drawing/2012/chart">
            <c:ext xmlns:c16="http://schemas.microsoft.com/office/drawing/2014/chart" uri="{C3380CC4-5D6E-409C-BE32-E72D297353CC}">
              <c16:uniqueId val="{00000000-BBEF-420F-A131-EA071B64CCA9}"/>
            </c:ext>
          </c:extLst>
        </c:ser>
        <c:dLbls>
          <c:showLegendKey val="0"/>
          <c:showVal val="0"/>
          <c:showCatName val="0"/>
          <c:showSerName val="0"/>
          <c:showPercent val="0"/>
          <c:showBubbleSize val="0"/>
        </c:dLbls>
        <c:axId val="67938511"/>
        <c:axId val="67955311"/>
        <c:extLst/>
      </c:areaChart>
      <c:scatterChart>
        <c:scatterStyle val="lineMarker"/>
        <c:varyColors val="0"/>
        <c:ser>
          <c:idx val="0"/>
          <c:order val="0"/>
          <c:tx>
            <c:strRef>
              <c:f>Preference_Analysis!$E$4</c:f>
              <c:strCache>
                <c:ptCount val="1"/>
                <c:pt idx="0">
                  <c:v>BAU (IRA 45U)</c:v>
                </c:pt>
              </c:strCache>
            </c:strRef>
          </c:tx>
          <c:spPr>
            <a:ln w="19050" cap="rnd">
              <a:solidFill>
                <a:schemeClr val="accent1"/>
              </a:solidFill>
              <a:round/>
            </a:ln>
            <a:effectLst/>
          </c:spPr>
          <c:marker>
            <c:symbol val="none"/>
          </c:marker>
          <c:xVal>
            <c:numRef>
              <c:f>Preference_Analysis!$E$17:$E$22</c:f>
              <c:numCache>
                <c:formatCode>"$"#,###.0,,\ "M"</c:formatCode>
                <c:ptCount val="6"/>
                <c:pt idx="0">
                  <c:v>343815106.1160599</c:v>
                </c:pt>
                <c:pt idx="1">
                  <c:v>821363162.99178076</c:v>
                </c:pt>
                <c:pt idx="2">
                  <c:v>1120822236.1506259</c:v>
                </c:pt>
                <c:pt idx="3">
                  <c:v>1482892507.1428444</c:v>
                </c:pt>
                <c:pt idx="4">
                  <c:v>1932059243.9357102</c:v>
                </c:pt>
                <c:pt idx="5">
                  <c:v>2387740284.3786044</c:v>
                </c:pt>
              </c:numCache>
            </c:numRef>
          </c:xVal>
          <c:yVal>
            <c:numRef>
              <c:f>Preference_Analysis!$B$17:$B$22</c:f>
              <c:numCache>
                <c:formatCode>"$"#,##0.00</c:formatCode>
                <c:ptCount val="6"/>
                <c:pt idx="0">
                  <c:v>0</c:v>
                </c:pt>
                <c:pt idx="1">
                  <c:v>18</c:v>
                </c:pt>
                <c:pt idx="2">
                  <c:v>36</c:v>
                </c:pt>
                <c:pt idx="3">
                  <c:v>54</c:v>
                </c:pt>
                <c:pt idx="4">
                  <c:v>72</c:v>
                </c:pt>
                <c:pt idx="5">
                  <c:v>90</c:v>
                </c:pt>
              </c:numCache>
            </c:numRef>
          </c:yVal>
          <c:smooth val="0"/>
          <c:extLst>
            <c:ext xmlns:c16="http://schemas.microsoft.com/office/drawing/2014/chart" uri="{C3380CC4-5D6E-409C-BE32-E72D297353CC}">
              <c16:uniqueId val="{00000001-BBEF-420F-A131-EA071B64CCA9}"/>
            </c:ext>
          </c:extLst>
        </c:ser>
        <c:ser>
          <c:idx val="1"/>
          <c:order val="1"/>
          <c:tx>
            <c:strRef>
              <c:f>Preference_Analysis!$A$5</c:f>
              <c:strCache>
                <c:ptCount val="1"/>
                <c:pt idx="0">
                  <c:v>H2 (IRA 45V), sale price=$5/kg, PTC=$3/kg</c:v>
                </c:pt>
              </c:strCache>
              <c:extLst xmlns:c15="http://schemas.microsoft.com/office/drawing/2012/chart"/>
            </c:strRef>
          </c:tx>
          <c:spPr>
            <a:ln w="19050" cap="rnd">
              <a:solidFill>
                <a:srgbClr val="FF0000"/>
              </a:solidFill>
              <a:prstDash val="lgDash"/>
              <a:round/>
            </a:ln>
            <a:effectLst/>
          </c:spPr>
          <c:marker>
            <c:symbol val="none"/>
          </c:marker>
          <c:xVal>
            <c:numRef>
              <c:f>Preference_Analysis!$F$5:$F$10</c:f>
              <c:numCache>
                <c:formatCode>"$"#,###.00,,\ "M"</c:formatCode>
                <c:ptCount val="6"/>
                <c:pt idx="0">
                  <c:v>4424559333.9256783</c:v>
                </c:pt>
                <c:pt idx="1">
                  <c:v>3921390719.830307</c:v>
                </c:pt>
                <c:pt idx="2">
                  <c:v>3418222105.7349377</c:v>
                </c:pt>
                <c:pt idx="3">
                  <c:v>2915053491.6395683</c:v>
                </c:pt>
                <c:pt idx="4">
                  <c:v>2407201636.5836997</c:v>
                </c:pt>
                <c:pt idx="5" formatCode="&quot;$&quot;#,###.0,,\ &quot;M&quot;">
                  <c:v>1887188107.7002714</c:v>
                </c:pt>
              </c:numCache>
              <c:extLst xmlns:c15="http://schemas.microsoft.com/office/drawing/2012/chart"/>
            </c:numRef>
          </c:xVal>
          <c:yVal>
            <c:numRef>
              <c:f>Preference_Analysis!$B$5:$B$10</c:f>
              <c:numCache>
                <c:formatCode>"$"#,##0.00</c:formatCode>
                <c:ptCount val="6"/>
                <c:pt idx="0">
                  <c:v>0</c:v>
                </c:pt>
                <c:pt idx="1">
                  <c:v>18</c:v>
                </c:pt>
                <c:pt idx="2">
                  <c:v>36</c:v>
                </c:pt>
                <c:pt idx="3">
                  <c:v>54</c:v>
                </c:pt>
                <c:pt idx="4">
                  <c:v>72</c:v>
                </c:pt>
                <c:pt idx="5">
                  <c:v>90</c:v>
                </c:pt>
              </c:numCache>
              <c:extLst xmlns:c15="http://schemas.microsoft.com/office/drawing/2012/chart"/>
            </c:numRef>
          </c:yVal>
          <c:smooth val="0"/>
          <c:extLst xmlns:c15="http://schemas.microsoft.com/office/drawing/2012/chart">
            <c:ext xmlns:c16="http://schemas.microsoft.com/office/drawing/2014/chart" uri="{C3380CC4-5D6E-409C-BE32-E72D297353CC}">
              <c16:uniqueId val="{00000002-BBEF-420F-A131-EA071B64CCA9}"/>
            </c:ext>
          </c:extLst>
        </c:ser>
        <c:ser>
          <c:idx val="2"/>
          <c:order val="2"/>
          <c:tx>
            <c:strRef>
              <c:f>Preference_Analysis!$A$11</c:f>
              <c:strCache>
                <c:ptCount val="1"/>
                <c:pt idx="0">
                  <c:v>H2 (IRA 45V), sale price=$1.52/kg, PTC=$3/kg</c:v>
                </c:pt>
              </c:strCache>
              <c:extLst xmlns:c15="http://schemas.microsoft.com/office/drawing/2012/chart"/>
            </c:strRef>
          </c:tx>
          <c:spPr>
            <a:ln w="19050" cap="rnd">
              <a:solidFill>
                <a:srgbClr val="FF0000"/>
              </a:solidFill>
              <a:prstDash val="sysDash"/>
              <a:round/>
            </a:ln>
            <a:effectLst/>
          </c:spPr>
          <c:marker>
            <c:symbol val="none"/>
          </c:marker>
          <c:xVal>
            <c:numRef>
              <c:f>Preference_Analysis!$F$11:$F$16</c:f>
              <c:numCache>
                <c:formatCode>"$"#,###.0,,\ "M"</c:formatCode>
                <c:ptCount val="6"/>
                <c:pt idx="0">
                  <c:v>2050132690.5778677</c:v>
                </c:pt>
                <c:pt idx="1">
                  <c:v>1534865662.0048258</c:v>
                </c:pt>
                <c:pt idx="2">
                  <c:v>897448931.36499333</c:v>
                </c:pt>
                <c:pt idx="3">
                  <c:v>223773279.45261869</c:v>
                </c:pt>
                <c:pt idx="4">
                  <c:v>-449902372.45975578</c:v>
                </c:pt>
                <c:pt idx="5">
                  <c:v>-1123578024.3721306</c:v>
                </c:pt>
              </c:numCache>
              <c:extLst xmlns:c15="http://schemas.microsoft.com/office/drawing/2012/chart"/>
            </c:numRef>
          </c:xVal>
          <c:yVal>
            <c:numRef>
              <c:f>Preference_Analysis!$B$11:$B$16</c:f>
              <c:numCache>
                <c:formatCode>"$"#,##0.00</c:formatCode>
                <c:ptCount val="6"/>
                <c:pt idx="0">
                  <c:v>0</c:v>
                </c:pt>
                <c:pt idx="1">
                  <c:v>18</c:v>
                </c:pt>
                <c:pt idx="2">
                  <c:v>36</c:v>
                </c:pt>
                <c:pt idx="3">
                  <c:v>54</c:v>
                </c:pt>
                <c:pt idx="4">
                  <c:v>72</c:v>
                </c:pt>
                <c:pt idx="5">
                  <c:v>90</c:v>
                </c:pt>
              </c:numCache>
              <c:extLst xmlns:c15="http://schemas.microsoft.com/office/drawing/2012/chart"/>
            </c:numRef>
          </c:yVal>
          <c:smooth val="0"/>
          <c:extLst xmlns:c15="http://schemas.microsoft.com/office/drawing/2012/chart">
            <c:ext xmlns:c16="http://schemas.microsoft.com/office/drawing/2014/chart" uri="{C3380CC4-5D6E-409C-BE32-E72D297353CC}">
              <c16:uniqueId val="{00000003-BBEF-420F-A131-EA071B64CCA9}"/>
            </c:ext>
          </c:extLst>
        </c:ser>
        <c:ser>
          <c:idx val="3"/>
          <c:order val="3"/>
          <c:tx>
            <c:strRef>
              <c:f>Preference_Analysis!$A$17</c:f>
              <c:strCache>
                <c:ptCount val="1"/>
                <c:pt idx="0">
                  <c:v>H2 (IRA 45V), sale price=$2.45/kg, PTC=$3/kg</c:v>
                </c:pt>
              </c:strCache>
              <c:extLst xmlns:c15="http://schemas.microsoft.com/office/drawing/2012/chart"/>
            </c:strRef>
          </c:tx>
          <c:spPr>
            <a:ln w="19050" cap="rnd">
              <a:solidFill>
                <a:schemeClr val="accent1"/>
              </a:solidFill>
              <a:prstDash val="lgDashDot"/>
              <a:round/>
            </a:ln>
            <a:effectLst/>
          </c:spPr>
          <c:marker>
            <c:symbol val="triangle"/>
            <c:size val="7"/>
            <c:spPr>
              <a:solidFill>
                <a:srgbClr val="7030A0"/>
              </a:solidFill>
              <a:ln w="9525">
                <a:noFill/>
              </a:ln>
              <a:effectLst/>
            </c:spPr>
          </c:marker>
          <c:xVal>
            <c:numRef>
              <c:f>Preference_Analysis!$F$17:$F$22</c:f>
              <c:numCache>
                <c:formatCode>"$"#,###.0,,\ "M"</c:formatCode>
                <c:ptCount val="6"/>
                <c:pt idx="0">
                  <c:v>2720575666.1507521</c:v>
                </c:pt>
                <c:pt idx="1">
                  <c:v>2216135068.4778223</c:v>
                </c:pt>
                <c:pt idx="2">
                  <c:v>1699887963.4167602</c:v>
                </c:pt>
                <c:pt idx="3">
                  <c:v>1123263715.4447691</c:v>
                </c:pt>
                <c:pt idx="4">
                  <c:v>449588063.53239471</c:v>
                </c:pt>
                <c:pt idx="5">
                  <c:v>-224087588.37998018</c:v>
                </c:pt>
              </c:numCache>
              <c:extLst xmlns:c15="http://schemas.microsoft.com/office/drawing/2012/chart"/>
            </c:numRef>
          </c:xVal>
          <c:yVal>
            <c:numRef>
              <c:f>Preference_Analysis!$B$17:$B$22</c:f>
              <c:numCache>
                <c:formatCode>"$"#,##0.00</c:formatCode>
                <c:ptCount val="6"/>
                <c:pt idx="0">
                  <c:v>0</c:v>
                </c:pt>
                <c:pt idx="1">
                  <c:v>18</c:v>
                </c:pt>
                <c:pt idx="2">
                  <c:v>36</c:v>
                </c:pt>
                <c:pt idx="3">
                  <c:v>54</c:v>
                </c:pt>
                <c:pt idx="4">
                  <c:v>72</c:v>
                </c:pt>
                <c:pt idx="5">
                  <c:v>90</c:v>
                </c:pt>
              </c:numCache>
              <c:extLst xmlns:c15="http://schemas.microsoft.com/office/drawing/2012/chart"/>
            </c:numRef>
          </c:yVal>
          <c:smooth val="0"/>
          <c:extLst xmlns:c15="http://schemas.microsoft.com/office/drawing/2012/chart">
            <c:ext xmlns:c16="http://schemas.microsoft.com/office/drawing/2014/chart" uri="{C3380CC4-5D6E-409C-BE32-E72D297353CC}">
              <c16:uniqueId val="{00000004-BBEF-420F-A131-EA071B64CCA9}"/>
            </c:ext>
          </c:extLst>
        </c:ser>
        <c:ser>
          <c:idx val="4"/>
          <c:order val="4"/>
          <c:tx>
            <c:strRef>
              <c:f>Preference_Analysis!$A$23</c:f>
              <c:strCache>
                <c:ptCount val="1"/>
                <c:pt idx="0">
                  <c:v>H2 (IRA 45V), sale price=$2.45/kg, PTC=$0/kg</c:v>
                </c:pt>
              </c:strCache>
              <c:extLst xmlns:c15="http://schemas.microsoft.com/office/drawing/2012/chart"/>
            </c:strRef>
          </c:tx>
          <c:spPr>
            <a:ln w="19050" cap="rnd">
              <a:solidFill>
                <a:schemeClr val="accent1"/>
              </a:solidFill>
              <a:prstDash val="sysDot"/>
              <a:round/>
            </a:ln>
            <a:effectLst/>
          </c:spPr>
          <c:marker>
            <c:symbol val="square"/>
            <c:size val="7"/>
            <c:spPr>
              <a:solidFill>
                <a:srgbClr val="7030A0"/>
              </a:solidFill>
              <a:ln w="9525">
                <a:noFill/>
              </a:ln>
              <a:effectLst/>
            </c:spPr>
          </c:marker>
          <c:xVal>
            <c:numRef>
              <c:f>Preference_Analysis!$F$23:$F$28</c:f>
              <c:numCache>
                <c:formatCode>"$"#,###.0,,\ "M"</c:formatCode>
                <c:ptCount val="6"/>
                <c:pt idx="0">
                  <c:v>988426733.67275763</c:v>
                </c:pt>
                <c:pt idx="1">
                  <c:v>483986135.99982846</c:v>
                </c:pt>
                <c:pt idx="2">
                  <c:v>-32260969.061234828</c:v>
                </c:pt>
                <c:pt idx="3">
                  <c:v>-608885217.03322518</c:v>
                </c:pt>
                <c:pt idx="4">
                  <c:v>-1282560868.9455993</c:v>
                </c:pt>
                <c:pt idx="5">
                  <c:v>-1956236520.8579743</c:v>
                </c:pt>
              </c:numCache>
              <c:extLst xmlns:c15="http://schemas.microsoft.com/office/drawing/2012/chart"/>
            </c:numRef>
          </c:xVal>
          <c:yVal>
            <c:numRef>
              <c:f>Preference_Analysis!$B$23:$B$28</c:f>
              <c:numCache>
                <c:formatCode>"$"#,##0.00</c:formatCode>
                <c:ptCount val="6"/>
                <c:pt idx="0">
                  <c:v>0</c:v>
                </c:pt>
                <c:pt idx="1">
                  <c:v>18</c:v>
                </c:pt>
                <c:pt idx="2">
                  <c:v>36</c:v>
                </c:pt>
                <c:pt idx="3">
                  <c:v>54</c:v>
                </c:pt>
                <c:pt idx="4">
                  <c:v>72</c:v>
                </c:pt>
                <c:pt idx="5">
                  <c:v>90</c:v>
                </c:pt>
              </c:numCache>
              <c:extLst xmlns:c15="http://schemas.microsoft.com/office/drawing/2012/chart"/>
            </c:numRef>
          </c:yVal>
          <c:smooth val="0"/>
          <c:extLst xmlns:c15="http://schemas.microsoft.com/office/drawing/2012/chart">
            <c:ext xmlns:c16="http://schemas.microsoft.com/office/drawing/2014/chart" uri="{C3380CC4-5D6E-409C-BE32-E72D297353CC}">
              <c16:uniqueId val="{00000005-BBEF-420F-A131-EA071B64CCA9}"/>
            </c:ext>
          </c:extLst>
        </c:ser>
        <c:ser>
          <c:idx val="5"/>
          <c:order val="5"/>
          <c:tx>
            <c:strRef>
              <c:f>Preference_Analysis!$K$4</c:f>
              <c:strCache>
                <c:ptCount val="1"/>
                <c:pt idx="0">
                  <c:v>Intersection Points (NPV,Feedstock: Electricity Price)</c:v>
                </c:pt>
              </c:strCache>
              <c:extLst xmlns:c15="http://schemas.microsoft.com/office/drawing/2012/chart"/>
            </c:strRef>
          </c:tx>
          <c:spPr>
            <a:ln w="25400" cap="rnd">
              <a:noFill/>
              <a:round/>
            </a:ln>
            <a:effectLst/>
          </c:spPr>
          <c:marker>
            <c:symbol val="circle"/>
            <c:size val="7"/>
            <c:spPr>
              <a:noFill/>
              <a:ln w="9525">
                <a:solidFill>
                  <a:schemeClr val="tx1"/>
                </a:solidFill>
              </a:ln>
              <a:effectLst/>
            </c:spPr>
          </c:marker>
          <c:dLbls>
            <c:dLbl>
              <c:idx val="0"/>
              <c:layout>
                <c:manualLayout>
                  <c:x val="3.3102392127694134E-2"/>
                  <c:y val="2.6270433286949196E-2"/>
                </c:manualLayout>
              </c:layout>
              <c:dLblPos val="r"/>
              <c:showLegendKey val="0"/>
              <c:showVal val="1"/>
              <c:showCatName val="1"/>
              <c:showSerName val="0"/>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1-027D-45F5-AFD5-8AD8E38F6315}"/>
                </c:ext>
              </c:extLst>
            </c:dLbl>
            <c:dLbl>
              <c:idx val="1"/>
              <c:layout>
                <c:manualLayout>
                  <c:x val="8.9975377670624954E-2"/>
                  <c:y val="0.10804590115040036"/>
                </c:manualLayout>
              </c:layout>
              <c:dLblPos val="r"/>
              <c:showLegendKey val="0"/>
              <c:showVal val="1"/>
              <c:showCatName val="1"/>
              <c:showSerName val="0"/>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0-2F96-4148-AC16-F637990441D5}"/>
                </c:ext>
              </c:extLst>
            </c:dLbl>
            <c:dLbl>
              <c:idx val="2"/>
              <c:layout>
                <c:manualLayout>
                  <c:x val="-0.10006219702993156"/>
                  <c:y val="-0.29412068473867864"/>
                </c:manualLayout>
              </c:layout>
              <c:dLblPos val="r"/>
              <c:showLegendKey val="0"/>
              <c:showVal val="1"/>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1-3630-4EE0-A849-63B36FF2622F}"/>
                </c:ext>
              </c:extLst>
            </c:dLbl>
            <c:dLbl>
              <c:idx val="3"/>
              <c:layout>
                <c:manualLayout>
                  <c:x val="-0.18616136709550848"/>
                  <c:y val="3.19873975225596E-4"/>
                </c:manualLayout>
              </c:layout>
              <c:dLblPos val="r"/>
              <c:showLegendKey val="0"/>
              <c:showVal val="1"/>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0-3630-4EE0-A849-63B36FF2622F}"/>
                </c:ext>
              </c:extLst>
            </c:dLbl>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1400" b="0" i="0" u="none" strike="noStrike" kern="1200" baseline="0">
                    <a:solidFill>
                      <a:sysClr val="windowText" lastClr="000000"/>
                    </a:solidFill>
                    <a:latin typeface="+mn-lt"/>
                    <a:ea typeface="+mn-ea"/>
                    <a:cs typeface="+mn-cs"/>
                  </a:defRPr>
                </a:pPr>
                <a:endParaRPr lang="en-US"/>
              </a:p>
            </c:txPr>
            <c:dLblPos val="l"/>
            <c:showLegendKey val="0"/>
            <c:showVal val="1"/>
            <c:showCatName val="1"/>
            <c:showSerName val="0"/>
            <c:showPercent val="0"/>
            <c:showBubbleSize val="0"/>
            <c:showLeaderLines val="0"/>
            <c:extLst xmlns:c15="http://schemas.microsoft.com/office/drawing/2012/chart">
              <c:ext xmlns:c15="http://schemas.microsoft.com/office/drawing/2012/chart" uri="{CE6537A1-D6FC-4f65-9D91-7224C49458BB}">
                <c15:spPr xmlns:c15="http://schemas.microsoft.com/office/drawing/2012/chart">
                  <a:prstGeom prst="wedgeRectCallout">
                    <a:avLst/>
                  </a:prstGeom>
                  <a:noFill/>
                  <a:ln>
                    <a:noFill/>
                  </a:ln>
                </c15:spPr>
                <c15:showLeaderLines val="0"/>
              </c:ext>
            </c:extLst>
          </c:dLbls>
          <c:xVal>
            <c:numRef>
              <c:f>Preference_Analysis!$K$6:$K$9</c:f>
              <c:numCache>
                <c:formatCode>"$"#,###,,\ "M"</c:formatCode>
                <c:ptCount val="4"/>
                <c:pt idx="0">
                  <c:v>2140703234.5808151</c:v>
                </c:pt>
                <c:pt idx="1">
                  <c:v>1062419137.4320357</c:v>
                </c:pt>
                <c:pt idx="2">
                  <c:v>1354473938.826875</c:v>
                </c:pt>
                <c:pt idx="3">
                  <c:v>657582804.62469482</c:v>
                </c:pt>
              </c:numCache>
            </c:numRef>
          </c:xVal>
          <c:yVal>
            <c:numRef>
              <c:f>Preference_Analysis!$L$6:$L$9</c:f>
              <c:numCache>
                <c:formatCode>"$"#,##0.0</c:formatCode>
                <c:ptCount val="4"/>
                <c:pt idx="0">
                  <c:v>81.268448253507387</c:v>
                </c:pt>
                <c:pt idx="1">
                  <c:v>31.600905090935626</c:v>
                </c:pt>
                <c:pt idx="2">
                  <c:v>46.629732753509053</c:v>
                </c:pt>
                <c:pt idx="3">
                  <c:v>12.255187357314139</c:v>
                </c:pt>
              </c:numCache>
            </c:numRef>
          </c:yVal>
          <c:smooth val="0"/>
          <c:extLst xmlns:c15="http://schemas.microsoft.com/office/drawing/2012/chart">
            <c:ext xmlns:c16="http://schemas.microsoft.com/office/drawing/2014/chart" uri="{C3380CC4-5D6E-409C-BE32-E72D297353CC}">
              <c16:uniqueId val="{00000006-BBEF-420F-A131-EA071B64CCA9}"/>
            </c:ext>
          </c:extLst>
        </c:ser>
        <c:dLbls>
          <c:showLegendKey val="0"/>
          <c:showVal val="0"/>
          <c:showCatName val="0"/>
          <c:showSerName val="0"/>
          <c:showPercent val="0"/>
          <c:showBubbleSize val="0"/>
        </c:dLbls>
        <c:axId val="1366289759"/>
        <c:axId val="424599471"/>
        <c:extLst/>
      </c:scatterChart>
      <c:valAx>
        <c:axId val="1366289759"/>
        <c:scaling>
          <c:orientation val="minMax"/>
          <c:max val="4424559333.9256783"/>
          <c:min val="-1956236520.8579743"/>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500" b="0" i="0" u="none" strike="noStrike" kern="1200" baseline="0">
                    <a:solidFill>
                      <a:sysClr val="windowText" lastClr="000000"/>
                    </a:solidFill>
                    <a:latin typeface="+mn-lt"/>
                    <a:ea typeface="+mn-ea"/>
                    <a:cs typeface="+mn-cs"/>
                  </a:defRPr>
                </a:pPr>
                <a:r>
                  <a:rPr lang="en-US" sz="1500" b="1"/>
                  <a:t>Net</a:t>
                </a:r>
                <a:r>
                  <a:rPr lang="en-US" sz="1500" b="1" baseline="0"/>
                  <a:t> Present Value, </a:t>
                </a:r>
                <a:r>
                  <a:rPr lang="en-US" sz="1500" b="1"/>
                  <a:t>$</a:t>
                </a:r>
              </a:p>
            </c:rich>
          </c:tx>
          <c:layout>
            <c:manualLayout>
              <c:xMode val="edge"/>
              <c:yMode val="edge"/>
              <c:x val="0.38666519958415951"/>
              <c:y val="0.89664393855531388"/>
            </c:manualLayout>
          </c:layout>
          <c:overlay val="0"/>
          <c:spPr>
            <a:noFill/>
            <a:ln>
              <a:noFill/>
            </a:ln>
            <a:effectLst/>
          </c:spPr>
          <c:txPr>
            <a:bodyPr rot="0" spcFirstLastPara="1" vertOverflow="ellipsis" vert="horz" wrap="square" anchor="ctr" anchorCtr="1"/>
            <a:lstStyle/>
            <a:p>
              <a:pPr>
                <a:defRPr sz="1500" b="0" i="0" u="none" strike="noStrike" kern="1200" baseline="0">
                  <a:solidFill>
                    <a:sysClr val="windowText" lastClr="000000"/>
                  </a:solidFill>
                  <a:latin typeface="+mn-lt"/>
                  <a:ea typeface="+mn-ea"/>
                  <a:cs typeface="+mn-cs"/>
                </a:defRPr>
              </a:pPr>
              <a:endParaRPr lang="en-US"/>
            </a:p>
          </c:txPr>
        </c:title>
        <c:numFmt formatCode="&quot;$&quot;#,###.0,,\ &quot;M&quot;" sourceLinked="1"/>
        <c:majorTickMark val="none"/>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n-US"/>
          </a:p>
        </c:txPr>
        <c:crossAx val="424599471"/>
        <c:crosses val="autoZero"/>
        <c:crossBetween val="midCat"/>
      </c:valAx>
      <c:valAx>
        <c:axId val="424599471"/>
        <c:scaling>
          <c:orientation val="minMax"/>
          <c:max val="90"/>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500" b="0" i="0" u="none" strike="noStrike" kern="1200" baseline="0">
                    <a:solidFill>
                      <a:sysClr val="windowText" lastClr="000000"/>
                    </a:solidFill>
                    <a:latin typeface="+mn-lt"/>
                    <a:ea typeface="+mn-ea"/>
                    <a:cs typeface="+mn-cs"/>
                  </a:defRPr>
                </a:pPr>
                <a:r>
                  <a:rPr lang="en-US" sz="1500" b="1"/>
                  <a:t>Feedstock: Electricity Price, $/MWh</a:t>
                </a:r>
              </a:p>
            </c:rich>
          </c:tx>
          <c:layout>
            <c:manualLayout>
              <c:xMode val="edge"/>
              <c:yMode val="edge"/>
              <c:x val="9.3853967171419646E-3"/>
              <c:y val="0.13516599156364523"/>
            </c:manualLayout>
          </c:layout>
          <c:overlay val="0"/>
          <c:spPr>
            <a:noFill/>
            <a:ln>
              <a:noFill/>
            </a:ln>
            <a:effectLst/>
          </c:spPr>
          <c:txPr>
            <a:bodyPr rot="-5400000" spcFirstLastPara="1" vertOverflow="ellipsis" vert="horz" wrap="square" anchor="ctr" anchorCtr="1"/>
            <a:lstStyle/>
            <a:p>
              <a:pPr>
                <a:defRPr sz="1500" b="0" i="0" u="none" strike="noStrike" kern="1200" baseline="0">
                  <a:solidFill>
                    <a:sysClr val="windowText" lastClr="000000"/>
                  </a:solidFill>
                  <a:latin typeface="+mn-lt"/>
                  <a:ea typeface="+mn-ea"/>
                  <a:cs typeface="+mn-cs"/>
                </a:defRPr>
              </a:pPr>
              <a:endParaRPr lang="en-US"/>
            </a:p>
          </c:txPr>
        </c:title>
        <c:numFmt formatCode="#,##0.00" sourceLinked="0"/>
        <c:majorTickMark val="none"/>
        <c:minorTickMark val="none"/>
        <c:tickLblPos val="low"/>
        <c:spPr>
          <a:noFill/>
          <a:ln w="25400" cap="flat" cmpd="sng" algn="ctr">
            <a:solidFill>
              <a:schemeClr val="tx1"/>
            </a:solidFill>
            <a:prstDash val="lgDash"/>
            <a:round/>
          </a:ln>
          <a:effectLst/>
        </c:spPr>
        <c:txPr>
          <a:bodyPr rot="-6000000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n-US"/>
          </a:p>
        </c:txPr>
        <c:crossAx val="1366289759"/>
        <c:crosses val="autoZero"/>
        <c:crossBetween val="midCat"/>
      </c:valAx>
      <c:valAx>
        <c:axId val="67955311"/>
        <c:scaling>
          <c:orientation val="minMax"/>
        </c:scaling>
        <c:delete val="1"/>
        <c:axPos val="r"/>
        <c:numFmt formatCode="General" sourceLinked="1"/>
        <c:majorTickMark val="out"/>
        <c:minorTickMark val="none"/>
        <c:tickLblPos val="nextTo"/>
        <c:crossAx val="67938511"/>
        <c:crosses val="max"/>
        <c:crossBetween val="between"/>
      </c:valAx>
      <c:dateAx>
        <c:axId val="67938511"/>
        <c:scaling>
          <c:orientation val="minMax"/>
        </c:scaling>
        <c:delete val="1"/>
        <c:axPos val="t"/>
        <c:numFmt formatCode="&quot;$&quot;#,##0.00" sourceLinked="1"/>
        <c:majorTickMark val="out"/>
        <c:minorTickMark val="none"/>
        <c:tickLblPos val="nextTo"/>
        <c:crossAx val="67955311"/>
        <c:crosses val="max"/>
        <c:auto val="0"/>
        <c:lblOffset val="100"/>
        <c:baseTimeUnit val="days"/>
        <c:minorUnit val="1"/>
      </c:dateAx>
      <c:spPr>
        <a:noFill/>
        <a:ln>
          <a:noFill/>
        </a:ln>
        <a:effectLst/>
      </c:spPr>
    </c:plotArea>
    <c:legend>
      <c:legendPos val="r"/>
      <c:layout>
        <c:manualLayout>
          <c:xMode val="edge"/>
          <c:yMode val="edge"/>
          <c:x val="0.71708266657689101"/>
          <c:y val="4.2842344932036277E-3"/>
          <c:w val="0.2796038372285875"/>
          <c:h val="0.99028499935417369"/>
        </c:manualLayout>
      </c:layout>
      <c:overlay val="0"/>
      <c:spPr>
        <a:noFill/>
        <a:ln>
          <a:noFill/>
        </a:ln>
        <a:effectLst/>
      </c:spPr>
      <c:txPr>
        <a:bodyPr rot="0" spcFirstLastPara="1" vertOverflow="ellipsis" vert="horz" wrap="square" anchor="ctr" anchorCtr="1"/>
        <a:lstStyle/>
        <a:p>
          <a:pPr>
            <a:defRPr sz="1300" b="0" i="0" u="none" strike="noStrike" kern="1200" baseline="0">
              <a:solidFill>
                <a:sysClr val="windowText" lastClr="000000"/>
              </a:solidFill>
              <a:latin typeface="+mn-lt"/>
              <a:ea typeface="+mn-ea"/>
              <a:cs typeface="+mn-cs"/>
            </a:defRPr>
          </a:pPr>
          <a:endParaRPr lang="en-US"/>
        </a:p>
      </c:txPr>
    </c:legend>
    <c:plotVisOnly val="1"/>
    <c:dispBlanksAs val="span"/>
    <c:extLst>
      <c:ext xmlns:c16r3="http://schemas.microsoft.com/office/drawing/2017/03/chart" uri="{56B9EC1D-385E-4148-901F-78D8002777C0}">
        <c16r3:dataDisplayOptions16>
          <c16r3:dispNaAsBlank val="1"/>
        </c16r3:dataDisplayOptions16>
      </c:ext>
    </c:extLst>
    <c:showDLblsOverMax val="0"/>
  </c:chart>
  <c:spPr>
    <a:noFill/>
    <a:ln w="28575" cap="flat" cmpd="sng" algn="ctr">
      <a:solidFill>
        <a:schemeClr val="tx1"/>
      </a:solidFill>
      <a:round/>
    </a:ln>
    <a:effectLst/>
  </c:spPr>
  <c:txPr>
    <a:bodyPr/>
    <a:lstStyle/>
    <a:p>
      <a:pPr>
        <a:defRPr>
          <a:solidFill>
            <a:sysClr val="windowText" lastClr="000000"/>
          </a:solidFill>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Sensitivity_Tornado!$B$15</c:f>
          <c:strCache>
            <c:ptCount val="1"/>
            <c:pt idx="0">
              <c:v>HTSE: Parameter Sensitivity of LCOH with PTC ($/kg)</c:v>
            </c:pt>
          </c:strCache>
        </c:strRef>
      </c:tx>
      <c:layout>
        <c:manualLayout>
          <c:xMode val="edge"/>
          <c:yMode val="edge"/>
          <c:x val="0.25520320594620882"/>
          <c:y val="1.3466180015000287E-2"/>
        </c:manualLayout>
      </c:layout>
      <c:overlay val="0"/>
      <c:spPr>
        <a:noFill/>
        <a:ln>
          <a:noFill/>
        </a:ln>
        <a:effectLst/>
      </c:spPr>
      <c:txPr>
        <a:bodyPr rot="0" spcFirstLastPara="1" vertOverflow="ellipsis" vert="horz" wrap="square" anchor="ctr" anchorCtr="1"/>
        <a:lstStyle/>
        <a:p>
          <a:pPr>
            <a:defRPr sz="1300" b="1" i="0" u="none" strike="noStrike" kern="1200" spc="0" baseline="0">
              <a:solidFill>
                <a:sysClr val="windowText" lastClr="000000"/>
              </a:solidFill>
              <a:latin typeface="+mn-lt"/>
              <a:ea typeface="+mn-ea"/>
              <a:cs typeface="+mn-cs"/>
            </a:defRPr>
          </a:pPr>
          <a:endParaRPr lang="en-US"/>
        </a:p>
      </c:txPr>
    </c:title>
    <c:autoTitleDeleted val="0"/>
    <c:plotArea>
      <c:layout>
        <c:manualLayout>
          <c:layoutTarget val="inner"/>
          <c:xMode val="edge"/>
          <c:yMode val="edge"/>
          <c:x val="0.44694348925127375"/>
          <c:y val="0.20894610955888579"/>
          <c:w val="0.52539104486939137"/>
          <c:h val="0.71040872915079167"/>
        </c:manualLayout>
      </c:layout>
      <c:barChart>
        <c:barDir val="bar"/>
        <c:grouping val="clustered"/>
        <c:varyColors val="0"/>
        <c:ser>
          <c:idx val="0"/>
          <c:order val="0"/>
          <c:tx>
            <c:v>lower bound</c:v>
          </c:tx>
          <c:spPr>
            <a:solidFill>
              <a:schemeClr val="accent1"/>
            </a:solidFill>
            <a:ln>
              <a:noFill/>
            </a:ln>
            <a:effectLst/>
          </c:spPr>
          <c:invertIfNegative val="0"/>
          <c:dLbls>
            <c:dLbl>
              <c:idx val="0"/>
              <c:layout>
                <c:manualLayout>
                  <c:x val="-2.3741568594248301E-2"/>
                  <c:y val="1.2990553470980062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9588-4115-9691-F6BDEFBE89DE}"/>
                </c:ext>
              </c:extLst>
            </c:dLbl>
            <c:dLbl>
              <c:idx val="1"/>
              <c:layout>
                <c:manualLayout>
                  <c:x val="4.3984421302182511E-4"/>
                  <c:y val="4.7639867139975672E-3"/>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0A7F-4219-AB53-04503F593E4B}"/>
                </c:ext>
              </c:extLst>
            </c:dLbl>
            <c:dLbl>
              <c:idx val="2"/>
              <c:layout>
                <c:manualLayout>
                  <c:x val="8.1987130640927292E-3"/>
                  <c:y val="2.1675458005525349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0A7F-4219-AB53-04503F593E4B}"/>
                </c:ext>
              </c:extLst>
            </c:dLbl>
            <c:dLbl>
              <c:idx val="3"/>
              <c:layout>
                <c:manualLayout>
                  <c:x val="6.8087700376761942E-3"/>
                  <c:y val="1.2547041976381684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60C5-4FDF-A2BA-41C76548ECD9}"/>
                </c:ext>
              </c:extLst>
            </c:dLbl>
            <c:dLbl>
              <c:idx val="4"/>
              <c:layout>
                <c:manualLayout>
                  <c:x val="7.5984251968503934E-3"/>
                  <c:y val="1.2982374953016197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219B-4325-91A4-479B626DAEB2}"/>
                </c:ext>
              </c:extLst>
            </c:dLbl>
            <c:dLbl>
              <c:idx val="5"/>
              <c:layout>
                <c:manualLayout>
                  <c:x val="1.0752829283436344E-2"/>
                  <c:y val="4.32813986083586E-3"/>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4E13-425C-A6F8-353CABC4351A}"/>
                </c:ext>
              </c:extLst>
            </c:dLbl>
            <c:dLbl>
              <c:idx val="6"/>
              <c:layout>
                <c:manualLayout>
                  <c:x val="7.6610786554907103E-3"/>
                  <c:y val="-8.6440119447254871E-3"/>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4E13-425C-A6F8-353CABC4351A}"/>
                </c:ext>
              </c:extLst>
            </c:dLbl>
            <c:spPr>
              <a:solidFill>
                <a:schemeClr val="bg1"/>
              </a:solidFill>
              <a:ln>
                <a:solidFill>
                  <a:schemeClr val="tx1"/>
                </a:solidFill>
              </a:ln>
              <a:effectLst/>
            </c:spPr>
            <c:txPr>
              <a:bodyPr rot="0" spcFirstLastPara="1" vertOverflow="ellipsis" vert="horz" wrap="square" lIns="38100" tIns="19050" rIns="38100" bIns="19050" anchor="ctr" anchorCtr="1">
                <a:spAutoFit/>
              </a:bodyPr>
              <a:lstStyle/>
              <a:p>
                <a:pPr>
                  <a:defRPr sz="1200" b="0" i="0" u="none" strike="noStrike" kern="1200" baseline="0">
                    <a:solidFill>
                      <a:sysClr val="windowText" lastClr="000000"/>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Sensitivity_Tornado!$D$17:$D$24</c:f>
              <c:strCache>
                <c:ptCount val="7"/>
                <c:pt idx="0">
                  <c:v>Feedstock: Electricity Price, $/MWh [20, 34, 60]</c:v>
                </c:pt>
                <c:pt idx="1">
                  <c:v>Direct Capital Cost (Installed), $ MM [314, 450, 900]</c:v>
                </c:pt>
                <c:pt idx="2">
                  <c:v>Stack Service Lifetime, yrs [7, 5, 2]</c:v>
                </c:pt>
                <c:pt idx="3">
                  <c:v>Plant Capacity (HTSE), MW-dc [500, 500, 100]</c:v>
                </c:pt>
                <c:pt idx="4">
                  <c:v>NPP Capacity Factor, % [95, 90, 80]</c:v>
                </c:pt>
                <c:pt idx="5">
                  <c:v>Stack Manufacturing Cost, $/kW-dc [55, 153, 156]</c:v>
                </c:pt>
                <c:pt idx="6">
                  <c:v>Stack degradation rate for the 2nd year of stack, %/1000 hr [0.3, 0.25, 0.2]</c:v>
                </c:pt>
              </c:strCache>
            </c:strRef>
          </c:cat>
          <c:val>
            <c:numRef>
              <c:f>Sensitivity_Tornado!$R$17:$R$23</c:f>
              <c:numCache>
                <c:formatCode>"$"#,##0.00</c:formatCode>
                <c:ptCount val="7"/>
                <c:pt idx="0">
                  <c:v>0.14678877155154191</c:v>
                </c:pt>
                <c:pt idx="1">
                  <c:v>0.36589016257504903</c:v>
                </c:pt>
                <c:pt idx="2">
                  <c:v>0.54435254587934434</c:v>
                </c:pt>
                <c:pt idx="3">
                  <c:v>0.57195600278901604</c:v>
                </c:pt>
                <c:pt idx="4">
                  <c:v>0.53224824048933916</c:v>
                </c:pt>
                <c:pt idx="5">
                  <c:v>0.50580800236096723</c:v>
                </c:pt>
                <c:pt idx="6">
                  <c:v>0.56280396666779975</c:v>
                </c:pt>
              </c:numCache>
            </c:numRef>
          </c:val>
          <c:extLst>
            <c:ext xmlns:c16="http://schemas.microsoft.com/office/drawing/2014/chart" uri="{C3380CC4-5D6E-409C-BE32-E72D297353CC}">
              <c16:uniqueId val="{00000000-3CD0-43EB-BA49-C9E68CF556B0}"/>
            </c:ext>
          </c:extLst>
        </c:ser>
        <c:ser>
          <c:idx val="2"/>
          <c:order val="1"/>
          <c:tx>
            <c:v>base value</c:v>
          </c:tx>
          <c:spPr>
            <a:solidFill>
              <a:schemeClr val="accent3"/>
            </a:solidFill>
            <a:ln>
              <a:noFill/>
            </a:ln>
            <a:effectLst/>
          </c:spPr>
          <c:invertIfNegative val="0"/>
          <c:dLbls>
            <c:dLbl>
              <c:idx val="0"/>
              <c:layout>
                <c:manualLayout>
                  <c:x val="-2.6121027427078797E-2"/>
                  <c:y val="6.9164649648032969E-2"/>
                </c:manualLayout>
              </c:layout>
              <c:spPr>
                <a:noFill/>
                <a:ln>
                  <a:solidFill>
                    <a:schemeClr val="tx1"/>
                  </a:solid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bg1">
                          <a:lumMod val="50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5-4DC6-42B1-8A4F-6934F360D7B4}"/>
                </c:ext>
              </c:extLst>
            </c:dLbl>
            <c:dLbl>
              <c:idx val="1"/>
              <c:delete val="1"/>
              <c:extLst>
                <c:ext xmlns:c15="http://schemas.microsoft.com/office/drawing/2012/chart" uri="{CE6537A1-D6FC-4f65-9D91-7224C49458BB}"/>
                <c:ext xmlns:c16="http://schemas.microsoft.com/office/drawing/2014/chart" uri="{C3380CC4-5D6E-409C-BE32-E72D297353CC}">
                  <c16:uniqueId val="{00000000-4DC6-42B1-8A4F-6934F360D7B4}"/>
                </c:ext>
              </c:extLst>
            </c:dLbl>
            <c:dLbl>
              <c:idx val="2"/>
              <c:delete val="1"/>
              <c:extLst>
                <c:ext xmlns:c15="http://schemas.microsoft.com/office/drawing/2012/chart" uri="{CE6537A1-D6FC-4f65-9D91-7224C49458BB}"/>
                <c:ext xmlns:c16="http://schemas.microsoft.com/office/drawing/2014/chart" uri="{C3380CC4-5D6E-409C-BE32-E72D297353CC}">
                  <c16:uniqueId val="{00000001-4DC6-42B1-8A4F-6934F360D7B4}"/>
                </c:ext>
              </c:extLst>
            </c:dLbl>
            <c:dLbl>
              <c:idx val="3"/>
              <c:delete val="1"/>
              <c:extLst>
                <c:ext xmlns:c15="http://schemas.microsoft.com/office/drawing/2012/chart" uri="{CE6537A1-D6FC-4f65-9D91-7224C49458BB}"/>
                <c:ext xmlns:c16="http://schemas.microsoft.com/office/drawing/2014/chart" uri="{C3380CC4-5D6E-409C-BE32-E72D297353CC}">
                  <c16:uniqueId val="{00000002-4DC6-42B1-8A4F-6934F360D7B4}"/>
                </c:ext>
              </c:extLst>
            </c:dLbl>
            <c:dLbl>
              <c:idx val="4"/>
              <c:delete val="1"/>
              <c:extLst>
                <c:ext xmlns:c15="http://schemas.microsoft.com/office/drawing/2012/chart" uri="{CE6537A1-D6FC-4f65-9D91-7224C49458BB}"/>
                <c:ext xmlns:c16="http://schemas.microsoft.com/office/drawing/2014/chart" uri="{C3380CC4-5D6E-409C-BE32-E72D297353CC}">
                  <c16:uniqueId val="{00000003-4DC6-42B1-8A4F-6934F360D7B4}"/>
                </c:ext>
              </c:extLst>
            </c:dLbl>
            <c:dLbl>
              <c:idx val="5"/>
              <c:delete val="1"/>
              <c:extLst>
                <c:ext xmlns:c15="http://schemas.microsoft.com/office/drawing/2012/chart" uri="{CE6537A1-D6FC-4f65-9D91-7224C49458BB}"/>
                <c:ext xmlns:c16="http://schemas.microsoft.com/office/drawing/2014/chart" uri="{C3380CC4-5D6E-409C-BE32-E72D297353CC}">
                  <c16:uniqueId val="{00000004-4DC6-42B1-8A4F-6934F360D7B4}"/>
                </c:ext>
              </c:extLst>
            </c:dLbl>
            <c:dLbl>
              <c:idx val="6"/>
              <c:delete val="1"/>
              <c:extLst>
                <c:ext xmlns:c15="http://schemas.microsoft.com/office/drawing/2012/chart" uri="{CE6537A1-D6FC-4f65-9D91-7224C49458BB}"/>
                <c:ext xmlns:c16="http://schemas.microsoft.com/office/drawing/2014/chart" uri="{C3380CC4-5D6E-409C-BE32-E72D297353CC}">
                  <c16:uniqueId val="{00000001-4E13-425C-A6F8-353CABC4351A}"/>
                </c:ext>
              </c:extLst>
            </c:dLbl>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ysClr val="windowText" lastClr="000000"/>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Sensitivity_Tornado!$D$17:$D$24</c:f>
              <c:strCache>
                <c:ptCount val="7"/>
                <c:pt idx="0">
                  <c:v>Feedstock: Electricity Price, $/MWh [20, 34, 60]</c:v>
                </c:pt>
                <c:pt idx="1">
                  <c:v>Direct Capital Cost (Installed), $ MM [314, 450, 900]</c:v>
                </c:pt>
                <c:pt idx="2">
                  <c:v>Stack Service Lifetime, yrs [7, 5, 2]</c:v>
                </c:pt>
                <c:pt idx="3">
                  <c:v>Plant Capacity (HTSE), MW-dc [500, 500, 100]</c:v>
                </c:pt>
                <c:pt idx="4">
                  <c:v>NPP Capacity Factor, % [95, 90, 80]</c:v>
                </c:pt>
                <c:pt idx="5">
                  <c:v>Stack Manufacturing Cost, $/kW-dc [55, 153, 156]</c:v>
                </c:pt>
                <c:pt idx="6">
                  <c:v>Stack degradation rate for the 2nd year of stack, %/1000 hr [0.3, 0.25, 0.2]</c:v>
                </c:pt>
              </c:strCache>
            </c:strRef>
          </c:cat>
          <c:val>
            <c:numRef>
              <c:f>Sensitivity_Tornado!$S$17:$S$23</c:f>
              <c:numCache>
                <c:formatCode>"$"#,##0.00</c:formatCode>
                <c:ptCount val="7"/>
                <c:pt idx="0">
                  <c:v>0.57195600278901604</c:v>
                </c:pt>
                <c:pt idx="1">
                  <c:v>0.57195600278901604</c:v>
                </c:pt>
                <c:pt idx="2">
                  <c:v>0.57195600278901604</c:v>
                </c:pt>
                <c:pt idx="3">
                  <c:v>0.57195600278901604</c:v>
                </c:pt>
                <c:pt idx="4">
                  <c:v>0.57195600278901604</c:v>
                </c:pt>
                <c:pt idx="5">
                  <c:v>0.57195600278901604</c:v>
                </c:pt>
                <c:pt idx="6">
                  <c:v>0.57195600278901604</c:v>
                </c:pt>
              </c:numCache>
            </c:numRef>
          </c:val>
          <c:extLst>
            <c:ext xmlns:c16="http://schemas.microsoft.com/office/drawing/2014/chart" uri="{C3380CC4-5D6E-409C-BE32-E72D297353CC}">
              <c16:uniqueId val="{00000002-3CD0-43EB-BA49-C9E68CF556B0}"/>
            </c:ext>
          </c:extLst>
        </c:ser>
        <c:ser>
          <c:idx val="1"/>
          <c:order val="2"/>
          <c:tx>
            <c:v>upper bound</c:v>
          </c:tx>
          <c:spPr>
            <a:solidFill>
              <a:schemeClr val="accent2"/>
            </a:solidFill>
            <a:ln>
              <a:noFill/>
            </a:ln>
            <a:effectLst/>
          </c:spPr>
          <c:invertIfNegative val="0"/>
          <c:dLbls>
            <c:dLbl>
              <c:idx val="0"/>
              <c:layout>
                <c:manualLayout>
                  <c:x val="5.2763487095060877E-3"/>
                  <c:y val="-4.3363256635722087E-3"/>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5-B7DB-4533-86EC-F59AE60C6F69}"/>
                </c:ext>
              </c:extLst>
            </c:dLbl>
            <c:dLbl>
              <c:idx val="1"/>
              <c:layout>
                <c:manualLayout>
                  <c:x val="7.9365079365079361E-3"/>
                  <c:y val="1.0583354500042334E-6"/>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6-B7DB-4533-86EC-F59AE60C6F69}"/>
                </c:ext>
              </c:extLst>
            </c:dLbl>
            <c:dLbl>
              <c:idx val="2"/>
              <c:layout>
                <c:manualLayout>
                  <c:x val="5.3600133542170561E-3"/>
                  <c:y val="-4.3784791715448419E-3"/>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7-B7DB-4533-86EC-F59AE60C6F69}"/>
                </c:ext>
              </c:extLst>
            </c:dLbl>
            <c:dLbl>
              <c:idx val="3"/>
              <c:layout>
                <c:manualLayout>
                  <c:x val="1.8042399639150684E-3"/>
                  <c:y val="4.3422453677987452E-3"/>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8389-4BFA-9A66-0FB7657C5EB3}"/>
                </c:ext>
              </c:extLst>
            </c:dLbl>
            <c:dLbl>
              <c:idx val="4"/>
              <c:layout>
                <c:manualLayout>
                  <c:x val="5.4889400749917813E-3"/>
                  <c:y val="8.7040158462609544E-3"/>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4AFE-44D6-A590-ABA1540ADE49}"/>
                </c:ext>
              </c:extLst>
            </c:dLbl>
            <c:dLbl>
              <c:idx val="5"/>
              <c:layout>
                <c:manualLayout>
                  <c:x val="1.1342674907571905E-2"/>
                  <c:y val="-8.6412857720708381E-3"/>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A616-4620-A184-60D4A16D2EAA}"/>
                </c:ext>
              </c:extLst>
            </c:dLbl>
            <c:dLbl>
              <c:idx val="6"/>
              <c:layout>
                <c:manualLayout>
                  <c:x val="8.8785877571755135E-3"/>
                  <c:y val="-4.3097381954166677E-3"/>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4E13-425C-A6F8-353CABC4351A}"/>
                </c:ext>
              </c:extLst>
            </c:dLbl>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ysClr val="windowText" lastClr="000000"/>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Sensitivity_Tornado!$D$17:$D$24</c:f>
              <c:strCache>
                <c:ptCount val="7"/>
                <c:pt idx="0">
                  <c:v>Feedstock: Electricity Price, $/MWh [20, 34, 60]</c:v>
                </c:pt>
                <c:pt idx="1">
                  <c:v>Direct Capital Cost (Installed), $ MM [314, 450, 900]</c:v>
                </c:pt>
                <c:pt idx="2">
                  <c:v>Stack Service Lifetime, yrs [7, 5, 2]</c:v>
                </c:pt>
                <c:pt idx="3">
                  <c:v>Plant Capacity (HTSE), MW-dc [500, 500, 100]</c:v>
                </c:pt>
                <c:pt idx="4">
                  <c:v>NPP Capacity Factor, % [95, 90, 80]</c:v>
                </c:pt>
                <c:pt idx="5">
                  <c:v>Stack Manufacturing Cost, $/kW-dc [55, 153, 156]</c:v>
                </c:pt>
                <c:pt idx="6">
                  <c:v>Stack degradation rate for the 2nd year of stack, %/1000 hr [0.3, 0.25, 0.2]</c:v>
                </c:pt>
              </c:strCache>
            </c:strRef>
          </c:cat>
          <c:val>
            <c:numRef>
              <c:f>Sensitivity_Tornado!$T$17:$T$23</c:f>
              <c:numCache>
                <c:formatCode>"$"#,##0.00</c:formatCode>
                <c:ptCount val="7"/>
                <c:pt idx="0">
                  <c:v>1.5208555574693741</c:v>
                </c:pt>
                <c:pt idx="1">
                  <c:v>1.27582131243965</c:v>
                </c:pt>
                <c:pt idx="2">
                  <c:v>0.72096306879612482</c:v>
                </c:pt>
                <c:pt idx="3">
                  <c:v>0.71584574771024179</c:v>
                </c:pt>
                <c:pt idx="4">
                  <c:v>0.66631001568103998</c:v>
                </c:pt>
                <c:pt idx="5">
                  <c:v>0.5742174045311359</c:v>
                </c:pt>
                <c:pt idx="6">
                  <c:v>0.58108733746674224</c:v>
                </c:pt>
              </c:numCache>
            </c:numRef>
          </c:val>
          <c:extLst>
            <c:ext xmlns:c16="http://schemas.microsoft.com/office/drawing/2014/chart" uri="{C3380CC4-5D6E-409C-BE32-E72D297353CC}">
              <c16:uniqueId val="{00000001-3CD0-43EB-BA49-C9E68CF556B0}"/>
            </c:ext>
          </c:extLst>
        </c:ser>
        <c:dLbls>
          <c:showLegendKey val="0"/>
          <c:showVal val="0"/>
          <c:showCatName val="0"/>
          <c:showSerName val="0"/>
          <c:showPercent val="0"/>
          <c:showBubbleSize val="0"/>
        </c:dLbls>
        <c:gapWidth val="150"/>
        <c:overlap val="100"/>
        <c:axId val="1118140288"/>
        <c:axId val="1441999008"/>
      </c:barChart>
      <c:catAx>
        <c:axId val="1118140288"/>
        <c:scaling>
          <c:orientation val="maxMin"/>
        </c:scaling>
        <c:delete val="0"/>
        <c:axPos val="l"/>
        <c:numFmt formatCode="General" sourceLinked="0"/>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n-US"/>
          </a:p>
        </c:txPr>
        <c:crossAx val="1441999008"/>
        <c:crossesAt val="0.57199999999999995"/>
        <c:auto val="1"/>
        <c:lblAlgn val="ctr"/>
        <c:lblOffset val="100"/>
        <c:noMultiLvlLbl val="0"/>
      </c:catAx>
      <c:valAx>
        <c:axId val="1441999008"/>
        <c:scaling>
          <c:orientation val="minMax"/>
        </c:scaling>
        <c:delete val="0"/>
        <c:axPos val="t"/>
        <c:majorGridlines>
          <c:spPr>
            <a:ln w="9525" cap="flat" cmpd="sng" algn="ctr">
              <a:solidFill>
                <a:schemeClr val="tx1">
                  <a:lumMod val="15000"/>
                  <a:lumOff val="85000"/>
                </a:schemeClr>
              </a:solidFill>
              <a:round/>
            </a:ln>
            <a:effectLst/>
          </c:spPr>
        </c:majorGridlines>
        <c:numFmt formatCode="&quot;$&quot;#,##0.0" sourceLinked="0"/>
        <c:majorTickMark val="none"/>
        <c:minorTickMark val="none"/>
        <c:tickLblPos val="nextTo"/>
        <c:spPr>
          <a:noFill/>
          <a:ln>
            <a:solidFill>
              <a:schemeClr val="bg1">
                <a:lumMod val="75000"/>
              </a:schemeClr>
            </a:solidFill>
          </a:ln>
          <a:effectLst/>
        </c:spPr>
        <c:txPr>
          <a:bodyPr rot="-60000000" spcFirstLastPara="1" vertOverflow="ellipsis" vert="horz" wrap="square" anchor="ctr" anchorCtr="1"/>
          <a:lstStyle/>
          <a:p>
            <a:pPr>
              <a:defRPr sz="1200" b="0" i="0" u="none" strike="noStrike" kern="1200" baseline="0">
                <a:solidFill>
                  <a:sysClr val="windowText" lastClr="000000"/>
                </a:solidFill>
                <a:latin typeface="+mn-lt"/>
                <a:ea typeface="+mn-ea"/>
                <a:cs typeface="+mn-cs"/>
              </a:defRPr>
            </a:pPr>
            <a:endParaRPr lang="en-US"/>
          </a:p>
        </c:txPr>
        <c:crossAx val="1118140288"/>
        <c:crosses val="autoZero"/>
        <c:crossBetween val="between"/>
      </c:valAx>
      <c:spPr>
        <a:noFill/>
        <a:ln w="25400">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28575" cap="flat" cmpd="sng" algn="ctr">
      <a:solidFill>
        <a:schemeClr val="tx1"/>
      </a:solidFill>
      <a:round/>
    </a:ln>
    <a:effectLst/>
  </c:spPr>
  <c:txPr>
    <a:bodyPr/>
    <a:lstStyle/>
    <a:p>
      <a:pPr>
        <a:defRPr sz="1200">
          <a:solidFill>
            <a:sysClr val="windowText" lastClr="000000"/>
          </a:solidFill>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Sensitivity_Tornado!$B$26</c:f>
          <c:strCache>
            <c:ptCount val="1"/>
            <c:pt idx="0">
              <c:v>HTSE: Sensitivity Annalysis of NPV_H2 with PTC ($ Million)</c:v>
            </c:pt>
          </c:strCache>
        </c:strRef>
      </c:tx>
      <c:layout>
        <c:manualLayout>
          <c:xMode val="edge"/>
          <c:yMode val="edge"/>
          <c:x val="0.30402020328621093"/>
          <c:y val="1.2985079122958595E-2"/>
        </c:manualLayout>
      </c:layout>
      <c:overlay val="0"/>
      <c:spPr>
        <a:noFill/>
        <a:ln>
          <a:noFill/>
        </a:ln>
        <a:effectLst/>
      </c:spPr>
      <c:txPr>
        <a:bodyPr rot="0" spcFirstLastPara="1" vertOverflow="ellipsis" vert="horz" wrap="square" anchor="ctr" anchorCtr="1"/>
        <a:lstStyle/>
        <a:p>
          <a:pPr>
            <a:defRPr sz="13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41906937558731083"/>
          <c:y val="0.23639905346642096"/>
          <c:w val="0.5215371516060493"/>
          <c:h val="0.7357226180156291"/>
        </c:manualLayout>
      </c:layout>
      <c:barChart>
        <c:barDir val="bar"/>
        <c:grouping val="clustered"/>
        <c:varyColors val="0"/>
        <c:ser>
          <c:idx val="0"/>
          <c:order val="0"/>
          <c:tx>
            <c:v>lower bound</c:v>
          </c:tx>
          <c:spPr>
            <a:solidFill>
              <a:schemeClr val="accent1"/>
            </a:solidFill>
            <a:ln>
              <a:noFill/>
            </a:ln>
            <a:effectLst/>
          </c:spPr>
          <c:invertIfNegative val="0"/>
          <c:dLbls>
            <c:dLbl>
              <c:idx val="5"/>
              <c:layout>
                <c:manualLayout>
                  <c:x val="-5.3675456429460007E-3"/>
                  <c:y val="-4.3440376560807117E-3"/>
                </c:manualLayout>
              </c:layout>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36F4-4B31-A181-89354AEE50E9}"/>
                </c:ext>
              </c:extLst>
            </c:dLbl>
            <c:dLbl>
              <c:idx val="6"/>
              <c:layout>
                <c:manualLayout>
                  <c:x val="-4.4378510657182346E-5"/>
                  <c:y val="4.3450639683321095E-3"/>
                </c:manualLayout>
              </c:layout>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EED1-49A6-9A20-C7B7EA3733DC}"/>
                </c:ext>
              </c:extLst>
            </c:dLbl>
            <c:numFmt formatCode="&quot;$&quot;#,##0" sourceLinked="0"/>
            <c:spPr>
              <a:noFill/>
              <a:ln>
                <a:solidFill>
                  <a:schemeClr val="tx1"/>
                </a:solid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Sensitivity_Tornado!$D$28:$D$35</c:f>
              <c:strCache>
                <c:ptCount val="7"/>
                <c:pt idx="0">
                  <c:v>Plant Capacity (HTSE), MW-dc [100, 500, 500]</c:v>
                </c:pt>
                <c:pt idx="1">
                  <c:v>Feedstock: Electricity Price, $/MWh [60, 34, 20]</c:v>
                </c:pt>
                <c:pt idx="2">
                  <c:v>Direct Capital Cost (Installed), $ MM [900, 450, 314]</c:v>
                </c:pt>
                <c:pt idx="3">
                  <c:v>NPP Capacity Factor, % [80, 90, 95]</c:v>
                </c:pt>
                <c:pt idx="4">
                  <c:v>Stack Service Lifetime, yrs [2, 5, 7]</c:v>
                </c:pt>
                <c:pt idx="5">
                  <c:v>Stack Manufacturing Cost, $/kW-dc [156, 153, 55]</c:v>
                </c:pt>
                <c:pt idx="6">
                  <c:v>Stack degradation rate for the 2nd year of stack, %/1000 hr [0.3, 0.25, 0.2]</c:v>
                </c:pt>
              </c:strCache>
            </c:strRef>
          </c:cat>
          <c:val>
            <c:numRef>
              <c:f>Sensitivity_Tornado!$R$28:$R$34</c:f>
              <c:numCache>
                <c:formatCode>"$"#,##0.00</c:formatCode>
                <c:ptCount val="7"/>
                <c:pt idx="0">
                  <c:v>327516262.50395173</c:v>
                </c:pt>
                <c:pt idx="1">
                  <c:v>898705164.80731082</c:v>
                </c:pt>
                <c:pt idx="2">
                  <c:v>1123609205.5162833</c:v>
                </c:pt>
                <c:pt idx="3">
                  <c:v>1502241058.0204566</c:v>
                </c:pt>
                <c:pt idx="4">
                  <c:v>1678680555.8242652</c:v>
                </c:pt>
                <c:pt idx="5">
                  <c:v>1767574516.7595751</c:v>
                </c:pt>
                <c:pt idx="6">
                  <c:v>1748192742.1956918</c:v>
                </c:pt>
              </c:numCache>
            </c:numRef>
          </c:val>
          <c:extLst>
            <c:ext xmlns:c16="http://schemas.microsoft.com/office/drawing/2014/chart" uri="{C3380CC4-5D6E-409C-BE32-E72D297353CC}">
              <c16:uniqueId val="{00000000-962F-4F14-AB32-80029DE309CC}"/>
            </c:ext>
          </c:extLst>
        </c:ser>
        <c:ser>
          <c:idx val="2"/>
          <c:order val="1"/>
          <c:tx>
            <c:v>base value</c:v>
          </c:tx>
          <c:spPr>
            <a:solidFill>
              <a:schemeClr val="accent3"/>
            </a:solidFill>
            <a:ln>
              <a:noFill/>
            </a:ln>
            <a:effectLst/>
          </c:spPr>
          <c:invertIfNegative val="0"/>
          <c:dLbls>
            <c:dLbl>
              <c:idx val="0"/>
              <c:layout>
                <c:manualLayout>
                  <c:x val="-4.0612110271791187E-2"/>
                  <c:y val="7.8297927602799647E-2"/>
                </c:manualLayout>
              </c:layout>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07A6-46AA-B582-F8ACC2DB7A57}"/>
                </c:ext>
              </c:extLst>
            </c:dLbl>
            <c:dLbl>
              <c:idx val="1"/>
              <c:delete val="1"/>
              <c:extLst>
                <c:ext xmlns:c15="http://schemas.microsoft.com/office/drawing/2012/chart" uri="{CE6537A1-D6FC-4f65-9D91-7224C49458BB}"/>
                <c:ext xmlns:c16="http://schemas.microsoft.com/office/drawing/2014/chart" uri="{C3380CC4-5D6E-409C-BE32-E72D297353CC}">
                  <c16:uniqueId val="{00000002-AB02-4728-B439-1ADA12945E2C}"/>
                </c:ext>
              </c:extLst>
            </c:dLbl>
            <c:dLbl>
              <c:idx val="2"/>
              <c:delete val="1"/>
              <c:extLst>
                <c:ext xmlns:c15="http://schemas.microsoft.com/office/drawing/2012/chart" uri="{CE6537A1-D6FC-4f65-9D91-7224C49458BB}"/>
                <c:ext xmlns:c16="http://schemas.microsoft.com/office/drawing/2014/chart" uri="{C3380CC4-5D6E-409C-BE32-E72D297353CC}">
                  <c16:uniqueId val="{00000000-AB02-4728-B439-1ADA12945E2C}"/>
                </c:ext>
              </c:extLst>
            </c:dLbl>
            <c:dLbl>
              <c:idx val="3"/>
              <c:delete val="1"/>
              <c:extLst>
                <c:ext xmlns:c15="http://schemas.microsoft.com/office/drawing/2012/chart" uri="{CE6537A1-D6FC-4f65-9D91-7224C49458BB}"/>
                <c:ext xmlns:c16="http://schemas.microsoft.com/office/drawing/2014/chart" uri="{C3380CC4-5D6E-409C-BE32-E72D297353CC}">
                  <c16:uniqueId val="{00000003-AB02-4728-B439-1ADA12945E2C}"/>
                </c:ext>
              </c:extLst>
            </c:dLbl>
            <c:dLbl>
              <c:idx val="4"/>
              <c:delete val="1"/>
              <c:extLst>
                <c:ext xmlns:c15="http://schemas.microsoft.com/office/drawing/2012/chart" uri="{CE6537A1-D6FC-4f65-9D91-7224C49458BB}"/>
                <c:ext xmlns:c16="http://schemas.microsoft.com/office/drawing/2014/chart" uri="{C3380CC4-5D6E-409C-BE32-E72D297353CC}">
                  <c16:uniqueId val="{00000000-B664-4956-A967-7983B3597165}"/>
                </c:ext>
              </c:extLst>
            </c:dLbl>
            <c:dLbl>
              <c:idx val="5"/>
              <c:delete val="1"/>
              <c:extLst>
                <c:ext xmlns:c15="http://schemas.microsoft.com/office/drawing/2012/chart" uri="{CE6537A1-D6FC-4f65-9D91-7224C49458BB}"/>
                <c:ext xmlns:c16="http://schemas.microsoft.com/office/drawing/2014/chart" uri="{C3380CC4-5D6E-409C-BE32-E72D297353CC}">
                  <c16:uniqueId val="{00000001-31BC-49BF-90B4-5D0230113065}"/>
                </c:ext>
              </c:extLst>
            </c:dLbl>
            <c:dLbl>
              <c:idx val="6"/>
              <c:delete val="1"/>
              <c:extLst>
                <c:ext xmlns:c15="http://schemas.microsoft.com/office/drawing/2012/chart" uri="{CE6537A1-D6FC-4f65-9D91-7224C49458BB}"/>
                <c:ext xmlns:c16="http://schemas.microsoft.com/office/drawing/2014/chart" uri="{C3380CC4-5D6E-409C-BE32-E72D297353CC}">
                  <c16:uniqueId val="{00000001-EED1-49A6-9A20-C7B7EA3733DC}"/>
                </c:ext>
              </c:extLst>
            </c:dLbl>
            <c:numFmt formatCode="&quot;$&quot;#,##0" sourceLinked="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1200" b="0" i="0" u="none" strike="noStrike" kern="1200" baseline="0">
                    <a:solidFill>
                      <a:schemeClr val="bg1">
                        <a:lumMod val="50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pPr xmlns:c15="http://schemas.microsoft.com/office/drawing/2012/chart">
                  <a:prstGeom prst="wedgeRectCallout">
                    <a:avLst/>
                  </a:prstGeom>
                  <a:noFill/>
                  <a:ln>
                    <a:noFill/>
                  </a:ln>
                </c15:spPr>
                <c15:showLeaderLines val="1"/>
                <c15:leaderLines>
                  <c:spPr>
                    <a:ln w="9525" cap="flat" cmpd="sng" algn="ctr">
                      <a:solidFill>
                        <a:schemeClr val="tx1">
                          <a:lumMod val="35000"/>
                          <a:lumOff val="65000"/>
                        </a:schemeClr>
                      </a:solidFill>
                      <a:round/>
                    </a:ln>
                    <a:effectLst/>
                  </c:spPr>
                </c15:leaderLines>
              </c:ext>
            </c:extLst>
          </c:dLbls>
          <c:cat>
            <c:strRef>
              <c:f>Sensitivity_Tornado!$D$28:$D$35</c:f>
              <c:strCache>
                <c:ptCount val="7"/>
                <c:pt idx="0">
                  <c:v>Plant Capacity (HTSE), MW-dc [100, 500, 500]</c:v>
                </c:pt>
                <c:pt idx="1">
                  <c:v>Feedstock: Electricity Price, $/MWh [60, 34, 20]</c:v>
                </c:pt>
                <c:pt idx="2">
                  <c:v>Direct Capital Cost (Installed), $ MM [900, 450, 314]</c:v>
                </c:pt>
                <c:pt idx="3">
                  <c:v>NPP Capacity Factor, % [80, 90, 95]</c:v>
                </c:pt>
                <c:pt idx="4">
                  <c:v>Stack Service Lifetime, yrs [2, 5, 7]</c:v>
                </c:pt>
                <c:pt idx="5">
                  <c:v>Stack Manufacturing Cost, $/kW-dc [156, 153, 55]</c:v>
                </c:pt>
                <c:pt idx="6">
                  <c:v>Stack degradation rate for the 2nd year of stack, %/1000 hr [0.3, 0.25, 0.2]</c:v>
                </c:pt>
              </c:strCache>
            </c:strRef>
          </c:cat>
          <c:val>
            <c:numRef>
              <c:f>Sensitivity_Tornado!$S$28:$S$34</c:f>
              <c:numCache>
                <c:formatCode>"$"#,##0.00</c:formatCode>
                <c:ptCount val="7"/>
                <c:pt idx="0">
                  <c:v>1769650138.4319968</c:v>
                </c:pt>
                <c:pt idx="1">
                  <c:v>1769650138.4319968</c:v>
                </c:pt>
                <c:pt idx="2">
                  <c:v>1769650138.4319968</c:v>
                </c:pt>
                <c:pt idx="3">
                  <c:v>1769650138.4319968</c:v>
                </c:pt>
                <c:pt idx="4">
                  <c:v>1769650138.4319968</c:v>
                </c:pt>
                <c:pt idx="5">
                  <c:v>1769650138.4319968</c:v>
                </c:pt>
                <c:pt idx="6">
                  <c:v>1769650138.4319968</c:v>
                </c:pt>
              </c:numCache>
            </c:numRef>
          </c:val>
          <c:extLst>
            <c:ext xmlns:c16="http://schemas.microsoft.com/office/drawing/2014/chart" uri="{C3380CC4-5D6E-409C-BE32-E72D297353CC}">
              <c16:uniqueId val="{00000002-962F-4F14-AB32-80029DE309CC}"/>
            </c:ext>
          </c:extLst>
        </c:ser>
        <c:ser>
          <c:idx val="1"/>
          <c:order val="2"/>
          <c:tx>
            <c:v>upper bound</c:v>
          </c:tx>
          <c:spPr>
            <a:solidFill>
              <a:schemeClr val="accent2"/>
            </a:solidFill>
            <a:ln>
              <a:noFill/>
            </a:ln>
            <a:effectLst/>
          </c:spPr>
          <c:invertIfNegative val="0"/>
          <c:dLbls>
            <c:dLbl>
              <c:idx val="0"/>
              <c:layout>
                <c:manualLayout>
                  <c:x val="3.1754867195545808E-2"/>
                  <c:y val="7.3309484117305155E-3"/>
                </c:manualLayout>
              </c:layout>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E22C-4965-82F6-1836571BA424}"/>
                </c:ext>
              </c:extLst>
            </c:dLbl>
            <c:dLbl>
              <c:idx val="1"/>
              <c:layout>
                <c:manualLayout>
                  <c:x val="-3.4942068108550091E-3"/>
                  <c:y val="4.7757493570579797E-3"/>
                </c:manualLayout>
              </c:layout>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C2FF-4C99-902F-B651B450B1D8}"/>
                </c:ext>
              </c:extLst>
            </c:dLbl>
            <c:dLbl>
              <c:idx val="2"/>
              <c:layout>
                <c:manualLayout>
                  <c:x val="3.1913481300827854E-3"/>
                  <c:y val="4.6188450248097965E-3"/>
                </c:manualLayout>
              </c:layout>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293A-4218-BF8B-6BB493716E28}"/>
                </c:ext>
              </c:extLst>
            </c:dLbl>
            <c:dLbl>
              <c:idx val="3"/>
              <c:layout>
                <c:manualLayout>
                  <c:x val="-5.906145789747296E-3"/>
                  <c:y val="4.3464323846673057E-3"/>
                </c:manualLayout>
              </c:layout>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04E5-4605-97C5-91D6F4A47AFC}"/>
                </c:ext>
              </c:extLst>
            </c:dLbl>
            <c:dLbl>
              <c:idx val="4"/>
              <c:layout>
                <c:manualLayout>
                  <c:x val="-8.7928340680442321E-2"/>
                  <c:y val="8.6856805835749101E-3"/>
                </c:manualLayout>
              </c:layout>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F0C7-461A-B75D-05A0A445DE37}"/>
                </c:ext>
              </c:extLst>
            </c:dLbl>
            <c:dLbl>
              <c:idx val="5"/>
              <c:layout>
                <c:manualLayout>
                  <c:x val="1.2385830998178237E-2"/>
                  <c:y val="1.3035876113163926E-2"/>
                </c:manualLayout>
              </c:layout>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31BC-49BF-90B4-5D0230113065}"/>
                </c:ext>
              </c:extLst>
            </c:dLbl>
            <c:dLbl>
              <c:idx val="6"/>
              <c:layout>
                <c:manualLayout>
                  <c:x val="7.0761887453277975E-3"/>
                  <c:y val="4.367300733779049E-3"/>
                </c:manualLayout>
              </c:layout>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EED1-49A6-9A20-C7B7EA3733DC}"/>
                </c:ext>
              </c:extLst>
            </c:dLbl>
            <c:numFmt formatCode="&quot;$&quot;#,##0" sourceLinked="0"/>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Sensitivity_Tornado!$D$28:$D$35</c:f>
              <c:strCache>
                <c:ptCount val="7"/>
                <c:pt idx="0">
                  <c:v>Plant Capacity (HTSE), MW-dc [100, 500, 500]</c:v>
                </c:pt>
                <c:pt idx="1">
                  <c:v>Feedstock: Electricity Price, $/MWh [60, 34, 20]</c:v>
                </c:pt>
                <c:pt idx="2">
                  <c:v>Direct Capital Cost (Installed), $ MM [900, 450, 314]</c:v>
                </c:pt>
                <c:pt idx="3">
                  <c:v>NPP Capacity Factor, % [80, 90, 95]</c:v>
                </c:pt>
                <c:pt idx="4">
                  <c:v>Stack Service Lifetime, yrs [2, 5, 7]</c:v>
                </c:pt>
                <c:pt idx="5">
                  <c:v>Stack Manufacturing Cost, $/kW-dc [156, 153, 55]</c:v>
                </c:pt>
                <c:pt idx="6">
                  <c:v>Stack degradation rate for the 2nd year of stack, %/1000 hr [0.3, 0.25, 0.2]</c:v>
                </c:pt>
              </c:strCache>
            </c:strRef>
          </c:cat>
          <c:val>
            <c:numRef>
              <c:f>Sensitivity_Tornado!$T$28:$T$34</c:f>
              <c:numCache>
                <c:formatCode>"$"#,##0.00</c:formatCode>
                <c:ptCount val="7"/>
                <c:pt idx="0">
                  <c:v>1769650138.4319968</c:v>
                </c:pt>
                <c:pt idx="1">
                  <c:v>2159888769.2435994</c:v>
                </c:pt>
                <c:pt idx="2">
                  <c:v>1958787130.7352099</c:v>
                </c:pt>
                <c:pt idx="3">
                  <c:v>1902503605.5191951</c:v>
                </c:pt>
                <c:pt idx="4">
                  <c:v>1767126289.0384417</c:v>
                </c:pt>
                <c:pt idx="5">
                  <c:v>1830363907.5595822</c:v>
                </c:pt>
                <c:pt idx="6">
                  <c:v>1791384051.5626321</c:v>
                </c:pt>
              </c:numCache>
            </c:numRef>
          </c:val>
          <c:extLst>
            <c:ext xmlns:c16="http://schemas.microsoft.com/office/drawing/2014/chart" uri="{C3380CC4-5D6E-409C-BE32-E72D297353CC}">
              <c16:uniqueId val="{00000001-962F-4F14-AB32-80029DE309CC}"/>
            </c:ext>
          </c:extLst>
        </c:ser>
        <c:dLbls>
          <c:dLblPos val="outEnd"/>
          <c:showLegendKey val="0"/>
          <c:showVal val="1"/>
          <c:showCatName val="0"/>
          <c:showSerName val="0"/>
          <c:showPercent val="0"/>
          <c:showBubbleSize val="0"/>
        </c:dLbls>
        <c:gapWidth val="150"/>
        <c:overlap val="100"/>
        <c:axId val="1118140288"/>
        <c:axId val="1441999008"/>
      </c:barChart>
      <c:catAx>
        <c:axId val="1118140288"/>
        <c:scaling>
          <c:orientation val="maxMin"/>
        </c:scaling>
        <c:delete val="0"/>
        <c:axPos val="l"/>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n-US"/>
          </a:p>
        </c:txPr>
        <c:crossAx val="1441999008"/>
        <c:crossesAt val="1769650138.4319999"/>
        <c:auto val="1"/>
        <c:lblAlgn val="ctr"/>
        <c:lblOffset val="100"/>
        <c:noMultiLvlLbl val="0"/>
      </c:catAx>
      <c:valAx>
        <c:axId val="1441999008"/>
        <c:scaling>
          <c:orientation val="minMax"/>
        </c:scaling>
        <c:delete val="0"/>
        <c:axPos val="t"/>
        <c:majorGridlines>
          <c:spPr>
            <a:ln w="9525" cap="flat" cmpd="sng" algn="ctr">
              <a:solidFill>
                <a:schemeClr val="tx1">
                  <a:lumMod val="15000"/>
                  <a:lumOff val="85000"/>
                </a:schemeClr>
              </a:solidFill>
              <a:round/>
            </a:ln>
            <a:effectLst/>
          </c:spPr>
        </c:majorGridlines>
        <c:numFmt formatCode="&quot;$&quot;#,##0" sourceLinked="0"/>
        <c:majorTickMark val="none"/>
        <c:minorTickMark val="none"/>
        <c:tickLblPos val="nextTo"/>
        <c:spPr>
          <a:noFill/>
          <a:ln>
            <a:solidFill>
              <a:schemeClr val="bg1">
                <a:lumMod val="75000"/>
              </a:schemeClr>
            </a:solidFill>
          </a:ln>
          <a:effectLst/>
        </c:spPr>
        <c:txPr>
          <a:bodyPr rot="-60000000" spcFirstLastPara="1" vertOverflow="ellipsis" vert="horz" wrap="square" anchor="ctr" anchorCtr="1"/>
          <a:lstStyle/>
          <a:p>
            <a:pPr>
              <a:defRPr sz="1200" b="0" i="0" u="none" strike="noStrike" kern="1200" baseline="0">
                <a:solidFill>
                  <a:schemeClr val="tx1"/>
                </a:solidFill>
                <a:latin typeface="+mn-lt"/>
                <a:ea typeface="+mn-ea"/>
                <a:cs typeface="+mn-cs"/>
              </a:defRPr>
            </a:pPr>
            <a:endParaRPr lang="en-US"/>
          </a:p>
        </c:txPr>
        <c:crossAx val="1118140288"/>
        <c:crosses val="autoZero"/>
        <c:crossBetween val="between"/>
        <c:dispUnits>
          <c:builtInUnit val="millions"/>
        </c:dispUnits>
      </c:valAx>
      <c:spPr>
        <a:noFill/>
        <a:ln>
          <a:solidFill>
            <a:schemeClr val="bg1">
              <a:lumMod val="75000"/>
            </a:schemeClr>
          </a:solidFill>
        </a:ln>
        <a:effectLst/>
      </c:spPr>
    </c:plotArea>
    <c:plotVisOnly val="1"/>
    <c:dispBlanksAs val="zero"/>
    <c:showDLblsOverMax val="0"/>
    <c:extLst/>
  </c:chart>
  <c:spPr>
    <a:noFill/>
    <a:ln w="28575" cap="flat" cmpd="sng" algn="ctr">
      <a:solidFill>
        <a:schemeClr val="tx1"/>
      </a:solidFill>
      <a:round/>
    </a:ln>
    <a:effectLst/>
  </c:spPr>
  <c:txPr>
    <a:bodyPr/>
    <a:lstStyle/>
    <a:p>
      <a:pPr>
        <a:defRPr sz="1200"/>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3530597431017213"/>
          <c:y val="0.11209718180368365"/>
          <c:w val="0.71563214921482721"/>
          <c:h val="0.72806318565614458"/>
        </c:manualLayout>
      </c:layout>
      <c:barChart>
        <c:barDir val="bar"/>
        <c:grouping val="stacked"/>
        <c:varyColors val="0"/>
        <c:ser>
          <c:idx val="0"/>
          <c:order val="0"/>
          <c:tx>
            <c:strRef>
              <c:f>LCOH!$T$18</c:f>
              <c:strCache>
                <c:ptCount val="1"/>
                <c:pt idx="0">
                  <c:v>Electricity</c:v>
                </c:pt>
              </c:strCache>
            </c:strRef>
          </c:tx>
          <c:spPr>
            <a:solidFill>
              <a:srgbClr val="FF0000"/>
            </a:solidFill>
            <a:ln>
              <a:noFill/>
            </a:ln>
            <a:effectLst/>
          </c:spPr>
          <c:invertIfNegative val="0"/>
          <c:dLbls>
            <c:dLbl>
              <c:idx val="1"/>
              <c:layout>
                <c:manualLayout>
                  <c:x val="4.2636650464739226E-3"/>
                  <c:y val="-9.5238047625023095E-2"/>
                </c:manualLayout>
              </c:layout>
              <c:dLblPos val="ct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FCE8-41C9-8CAF-E57438729F42}"/>
                </c:ext>
              </c:extLst>
            </c:dLbl>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LCOH!$U$17:$V$17</c:f>
              <c:strCache>
                <c:ptCount val="2"/>
                <c:pt idx="0">
                  <c:v>H2 Revenues</c:v>
                </c:pt>
                <c:pt idx="1">
                  <c:v>LCOH without PTC</c:v>
                </c:pt>
              </c:strCache>
            </c:strRef>
          </c:cat>
          <c:val>
            <c:numRef>
              <c:f>LCOH!$U$18:$V$18</c:f>
              <c:numCache>
                <c:formatCode>"$"#,##0.00</c:formatCode>
                <c:ptCount val="2"/>
                <c:pt idx="1">
                  <c:v>1.2710938963901139</c:v>
                </c:pt>
              </c:numCache>
            </c:numRef>
          </c:val>
          <c:extLst>
            <c:ext xmlns:c16="http://schemas.microsoft.com/office/drawing/2014/chart" uri="{C3380CC4-5D6E-409C-BE32-E72D297353CC}">
              <c16:uniqueId val="{00000000-70CB-4721-BADE-C273136E5F07}"/>
            </c:ext>
          </c:extLst>
        </c:ser>
        <c:ser>
          <c:idx val="1"/>
          <c:order val="1"/>
          <c:tx>
            <c:strRef>
              <c:f>LCOH!$T$19</c:f>
              <c:strCache>
                <c:ptCount val="1"/>
                <c:pt idx="0">
                  <c:v>BoP</c:v>
                </c:pt>
              </c:strCache>
            </c:strRef>
          </c:tx>
          <c:spPr>
            <a:solidFill>
              <a:srgbClr val="FFC000"/>
            </a:solidFill>
            <a:ln>
              <a:noFill/>
            </a:ln>
            <a:effectLst/>
          </c:spPr>
          <c:invertIfNegative val="0"/>
          <c:dLbls>
            <c:dLbl>
              <c:idx val="1"/>
              <c:layout>
                <c:manualLayout>
                  <c:x val="-1.4212005801546392E-3"/>
                  <c:y val="-9.9753276443559163E-2"/>
                </c:manualLayout>
              </c:layout>
              <c:dLblPos val="ct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FCE8-41C9-8CAF-E57438729F42}"/>
                </c:ext>
              </c:extLst>
            </c:dLbl>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LCOH!$U$17:$V$17</c:f>
              <c:strCache>
                <c:ptCount val="2"/>
                <c:pt idx="0">
                  <c:v>H2 Revenues</c:v>
                </c:pt>
                <c:pt idx="1">
                  <c:v>LCOH without PTC</c:v>
                </c:pt>
              </c:strCache>
            </c:strRef>
          </c:cat>
          <c:val>
            <c:numRef>
              <c:f>LCOH!$U$19:$V$19</c:f>
              <c:numCache>
                <c:formatCode>"$"#,##0.00</c:formatCode>
                <c:ptCount val="2"/>
                <c:pt idx="1">
                  <c:v>0.44581666293868044</c:v>
                </c:pt>
              </c:numCache>
            </c:numRef>
          </c:val>
          <c:extLst>
            <c:ext xmlns:c16="http://schemas.microsoft.com/office/drawing/2014/chart" uri="{C3380CC4-5D6E-409C-BE32-E72D297353CC}">
              <c16:uniqueId val="{00000001-70CB-4721-BADE-C273136E5F07}"/>
            </c:ext>
          </c:extLst>
        </c:ser>
        <c:ser>
          <c:idx val="2"/>
          <c:order val="2"/>
          <c:tx>
            <c:strRef>
              <c:f>LCOH!$T$20</c:f>
              <c:strCache>
                <c:ptCount val="1"/>
                <c:pt idx="0">
                  <c:v>Fixed O&amp;M</c:v>
                </c:pt>
              </c:strCache>
            </c:strRef>
          </c:tx>
          <c:spPr>
            <a:solidFill>
              <a:srgbClr val="7030A0"/>
            </a:solidFill>
            <a:ln>
              <a:noFill/>
            </a:ln>
            <a:effectLst/>
          </c:spPr>
          <c:invertIfNegative val="0"/>
          <c:dLbls>
            <c:dLbl>
              <c:idx val="1"/>
              <c:layout>
                <c:manualLayout>
                  <c:x val="-1.4212312160828096E-3"/>
                  <c:y val="-6.3665543841077893E-2"/>
                </c:manualLayout>
              </c:layout>
              <c:dLblPos val="ct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FCE8-41C9-8CAF-E57438729F42}"/>
                </c:ext>
              </c:extLst>
            </c:dLbl>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LCOH!$U$17:$V$17</c:f>
              <c:strCache>
                <c:ptCount val="2"/>
                <c:pt idx="0">
                  <c:v>H2 Revenues</c:v>
                </c:pt>
                <c:pt idx="1">
                  <c:v>LCOH without PTC</c:v>
                </c:pt>
              </c:strCache>
            </c:strRef>
          </c:cat>
          <c:val>
            <c:numRef>
              <c:f>LCOH!$U$20:$V$20</c:f>
              <c:numCache>
                <c:formatCode>"$"#,##0.00</c:formatCode>
                <c:ptCount val="2"/>
                <c:pt idx="1">
                  <c:v>0.2687649128403099</c:v>
                </c:pt>
              </c:numCache>
            </c:numRef>
          </c:val>
          <c:extLst>
            <c:ext xmlns:c16="http://schemas.microsoft.com/office/drawing/2014/chart" uri="{C3380CC4-5D6E-409C-BE32-E72D297353CC}">
              <c16:uniqueId val="{00000002-70CB-4721-BADE-C273136E5F07}"/>
            </c:ext>
          </c:extLst>
        </c:ser>
        <c:ser>
          <c:idx val="3"/>
          <c:order val="3"/>
          <c:tx>
            <c:strRef>
              <c:f>LCOH!$T$21</c:f>
              <c:strCache>
                <c:ptCount val="1"/>
                <c:pt idx="0">
                  <c:v>Stack Replacement</c:v>
                </c:pt>
              </c:strCache>
            </c:strRef>
          </c:tx>
          <c:spPr>
            <a:solidFill>
              <a:srgbClr val="002060"/>
            </a:solidFill>
            <a:ln>
              <a:noFill/>
            </a:ln>
            <a:effectLst/>
          </c:spPr>
          <c:invertIfNegative val="0"/>
          <c:dLbls>
            <c:dLbl>
              <c:idx val="1"/>
              <c:layout>
                <c:manualLayout>
                  <c:x val="-1.1635656397459191E-3"/>
                  <c:y val="-9.390635483170609E-3"/>
                </c:manualLayout>
              </c:layout>
              <c:dLblPos val="ct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85F9-4692-A057-4FD618316940}"/>
                </c:ext>
              </c:extLst>
            </c:dLbl>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LCOH!$U$17:$V$17</c:f>
              <c:strCache>
                <c:ptCount val="2"/>
                <c:pt idx="0">
                  <c:v>H2 Revenues</c:v>
                </c:pt>
                <c:pt idx="1">
                  <c:v>LCOH without PTC</c:v>
                </c:pt>
              </c:strCache>
            </c:strRef>
          </c:cat>
          <c:val>
            <c:numRef>
              <c:f>LCOH!$U$21:$V$21</c:f>
              <c:numCache>
                <c:formatCode>"$"#,##0.00</c:formatCode>
                <c:ptCount val="2"/>
                <c:pt idx="1">
                  <c:v>0.14317595651721404</c:v>
                </c:pt>
              </c:numCache>
            </c:numRef>
          </c:val>
          <c:extLst>
            <c:ext xmlns:c16="http://schemas.microsoft.com/office/drawing/2014/chart" uri="{C3380CC4-5D6E-409C-BE32-E72D297353CC}">
              <c16:uniqueId val="{00000003-70CB-4721-BADE-C273136E5F07}"/>
            </c:ext>
          </c:extLst>
        </c:ser>
        <c:ser>
          <c:idx val="4"/>
          <c:order val="4"/>
          <c:tx>
            <c:strRef>
              <c:f>LCOH!$T$22</c:f>
              <c:strCache>
                <c:ptCount val="1"/>
                <c:pt idx="0">
                  <c:v>Tax Payment (H2 only)</c:v>
                </c:pt>
              </c:strCache>
            </c:strRef>
          </c:tx>
          <c:spPr>
            <a:solidFill>
              <a:srgbClr val="00B0F0"/>
            </a:solidFill>
            <a:ln>
              <a:noFill/>
            </a:ln>
            <a:effectLst/>
          </c:spPr>
          <c:invertIfNegative val="0"/>
          <c:dLbls>
            <c:dLbl>
              <c:idx val="1"/>
              <c:layout>
                <c:manualLayout>
                  <c:x val="1.8678719011313168E-3"/>
                  <c:y val="5.6148249478851199E-2"/>
                </c:manualLayout>
              </c:layout>
              <c:dLblPos val="ct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B-70CB-4721-BADE-C273136E5F07}"/>
                </c:ext>
              </c:extLst>
            </c:dLbl>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LCOH!$U$17:$V$17</c:f>
              <c:strCache>
                <c:ptCount val="2"/>
                <c:pt idx="0">
                  <c:v>H2 Revenues</c:v>
                </c:pt>
                <c:pt idx="1">
                  <c:v>LCOH without PTC</c:v>
                </c:pt>
              </c:strCache>
            </c:strRef>
          </c:cat>
          <c:val>
            <c:numRef>
              <c:f>LCOH!$U$22:$V$22</c:f>
              <c:numCache>
                <c:formatCode>"$"#,##0.00</c:formatCode>
                <c:ptCount val="2"/>
                <c:pt idx="1">
                  <c:v>0.11824639227650069</c:v>
                </c:pt>
              </c:numCache>
            </c:numRef>
          </c:val>
          <c:extLst>
            <c:ext xmlns:c16="http://schemas.microsoft.com/office/drawing/2014/chart" uri="{C3380CC4-5D6E-409C-BE32-E72D297353CC}">
              <c16:uniqueId val="{00000004-70CB-4721-BADE-C273136E5F07}"/>
            </c:ext>
          </c:extLst>
        </c:ser>
        <c:ser>
          <c:idx val="5"/>
          <c:order val="5"/>
          <c:tx>
            <c:strRef>
              <c:f>LCOH!$T$24</c:f>
              <c:strCache>
                <c:ptCount val="1"/>
                <c:pt idx="0">
                  <c:v>Thermal</c:v>
                </c:pt>
              </c:strCache>
            </c:strRef>
          </c:tx>
          <c:spPr>
            <a:solidFill>
              <a:schemeClr val="bg1">
                <a:lumMod val="75000"/>
              </a:schemeClr>
            </a:solidFill>
            <a:ln>
              <a:noFill/>
            </a:ln>
            <a:effectLst/>
          </c:spPr>
          <c:invertIfNegative val="0"/>
          <c:dLbls>
            <c:dLbl>
              <c:idx val="1"/>
              <c:layout>
                <c:manualLayout>
                  <c:x val="-3.853484351955397E-3"/>
                  <c:y val="-0.23299993960061316"/>
                </c:manualLayout>
              </c:layout>
              <c:spPr>
                <a:solidFill>
                  <a:schemeClr val="bg1"/>
                </a:solidFill>
                <a:ln>
                  <a:solidFill>
                    <a:schemeClr val="tx1"/>
                  </a:solid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C-70CB-4721-BADE-C273136E5F07}"/>
                </c:ext>
              </c:extLst>
            </c:dLbl>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LCOH!$U$17:$V$17</c:f>
              <c:strCache>
                <c:ptCount val="2"/>
                <c:pt idx="0">
                  <c:v>H2 Revenues</c:v>
                </c:pt>
                <c:pt idx="1">
                  <c:v>LCOH without PTC</c:v>
                </c:pt>
              </c:strCache>
            </c:strRef>
          </c:cat>
          <c:val>
            <c:numRef>
              <c:f>LCOH!$U$24:$V$24</c:f>
              <c:numCache>
                <c:formatCode>"$"#,##0.00</c:formatCode>
                <c:ptCount val="2"/>
                <c:pt idx="1">
                  <c:v>7.5589922158188286E-2</c:v>
                </c:pt>
              </c:numCache>
            </c:numRef>
          </c:val>
          <c:extLst>
            <c:ext xmlns:c16="http://schemas.microsoft.com/office/drawing/2014/chart" uri="{C3380CC4-5D6E-409C-BE32-E72D297353CC}">
              <c16:uniqueId val="{00000005-70CB-4721-BADE-C273136E5F07}"/>
            </c:ext>
          </c:extLst>
        </c:ser>
        <c:ser>
          <c:idx val="6"/>
          <c:order val="6"/>
          <c:tx>
            <c:strRef>
              <c:f>LCOH!$T$23</c:f>
              <c:strCache>
                <c:ptCount val="1"/>
                <c:pt idx="0">
                  <c:v>Stack</c:v>
                </c:pt>
              </c:strCache>
            </c:strRef>
          </c:tx>
          <c:spPr>
            <a:solidFill>
              <a:schemeClr val="accent2">
                <a:lumMod val="75000"/>
              </a:schemeClr>
            </a:solidFill>
            <a:ln>
              <a:noFill/>
            </a:ln>
            <a:effectLst/>
          </c:spPr>
          <c:invertIfNegative val="0"/>
          <c:dLbls>
            <c:dLbl>
              <c:idx val="1"/>
              <c:layout>
                <c:manualLayout>
                  <c:x val="4.4902398986596807E-2"/>
                  <c:y val="-0.18244206148004616"/>
                </c:manualLayout>
              </c:layout>
              <c:spPr>
                <a:solidFill>
                  <a:schemeClr val="bg1"/>
                </a:solidFill>
                <a:ln>
                  <a:solidFill>
                    <a:schemeClr val="tx1"/>
                  </a:solid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D-70CB-4721-BADE-C273136E5F07}"/>
                </c:ext>
              </c:extLst>
            </c:dLbl>
            <c:spPr>
              <a:noFill/>
              <a:ln>
                <a:solidFill>
                  <a:schemeClr val="tx1"/>
                </a:solid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LCOH!$U$17:$V$17</c:f>
              <c:strCache>
                <c:ptCount val="2"/>
                <c:pt idx="0">
                  <c:v>H2 Revenues</c:v>
                </c:pt>
                <c:pt idx="1">
                  <c:v>LCOH without PTC</c:v>
                </c:pt>
              </c:strCache>
            </c:strRef>
          </c:cat>
          <c:val>
            <c:numRef>
              <c:f>LCOH!$U$23:$V$23</c:f>
              <c:numCache>
                <c:formatCode>"$"#,##0.00</c:formatCode>
                <c:ptCount val="2"/>
                <c:pt idx="1">
                  <c:v>9.1082787166130871E-2</c:v>
                </c:pt>
              </c:numCache>
            </c:numRef>
          </c:val>
          <c:extLst>
            <c:ext xmlns:c16="http://schemas.microsoft.com/office/drawing/2014/chart" uri="{C3380CC4-5D6E-409C-BE32-E72D297353CC}">
              <c16:uniqueId val="{00000006-70CB-4721-BADE-C273136E5F07}"/>
            </c:ext>
          </c:extLst>
        </c:ser>
        <c:ser>
          <c:idx val="10"/>
          <c:order val="7"/>
          <c:tx>
            <c:strRef>
              <c:f>LCOH!$T$25</c:f>
              <c:strCache>
                <c:ptCount val="1"/>
                <c:pt idx="0">
                  <c:v>Variable O&amp;M without tax</c:v>
                </c:pt>
              </c:strCache>
            </c:strRef>
          </c:tx>
          <c:spPr>
            <a:solidFill>
              <a:schemeClr val="bg1">
                <a:lumMod val="50000"/>
              </a:schemeClr>
            </a:solidFill>
            <a:ln>
              <a:noFill/>
            </a:ln>
            <a:effectLst/>
          </c:spPr>
          <c:invertIfNegative val="0"/>
          <c:dLbls>
            <c:dLbl>
              <c:idx val="1"/>
              <c:layout>
                <c:manualLayout>
                  <c:x val="5.4927034950015122E-2"/>
                  <c:y val="4.1464995290479856E-3"/>
                </c:manualLayout>
              </c:layout>
              <c:spPr>
                <a:noFill/>
                <a:ln>
                  <a:solidFill>
                    <a:schemeClr val="tx1"/>
                  </a:solidFill>
                </a:ln>
                <a:effectLst/>
              </c:spPr>
              <c:txPr>
                <a:bodyPr rot="0" spcFirstLastPara="1" vertOverflow="ellipsis" vert="horz" wrap="square" lIns="38100" tIns="19050" rIns="38100" bIns="19050" anchor="ctr" anchorCtr="1">
                  <a:noAutofit/>
                </a:bodyPr>
                <a:lstStyle/>
                <a:p>
                  <a:pPr>
                    <a:defRPr sz="1200" b="0" i="0" u="none" strike="noStrike" kern="1200" baseline="0">
                      <a:solidFill>
                        <a:sysClr val="windowText" lastClr="000000"/>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15:layout>
                    <c:manualLayout>
                      <c:w val="6.1401849310210324E-2"/>
                      <c:h val="7.4572021371588443E-2"/>
                    </c:manualLayout>
                  </c15:layout>
                </c:ext>
                <c:ext xmlns:c16="http://schemas.microsoft.com/office/drawing/2014/chart" uri="{C3380CC4-5D6E-409C-BE32-E72D297353CC}">
                  <c16:uniqueId val="{00000002-AE20-4DA4-B49E-B5864EA875FC}"/>
                </c:ext>
              </c:extLst>
            </c:dLbl>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ysClr val="windowText" lastClr="000000"/>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LCOH!$U$25:$V$25</c:f>
              <c:numCache>
                <c:formatCode>"$"#,##0.00</c:formatCode>
                <c:ptCount val="2"/>
                <c:pt idx="1">
                  <c:v>3.5504564710627504E-2</c:v>
                </c:pt>
              </c:numCache>
            </c:numRef>
          </c:val>
          <c:extLst>
            <c:ext xmlns:c16="http://schemas.microsoft.com/office/drawing/2014/chart" uri="{C3380CC4-5D6E-409C-BE32-E72D297353CC}">
              <c16:uniqueId val="{00000001-AE20-4DA4-B49E-B5864EA875FC}"/>
            </c:ext>
          </c:extLst>
        </c:ser>
        <c:ser>
          <c:idx val="7"/>
          <c:order val="8"/>
          <c:tx>
            <c:strRef>
              <c:f>LCOH!$T$27</c:f>
              <c:strCache>
                <c:ptCount val="1"/>
                <c:pt idx="0">
                  <c:v>Hydrogen Sale</c:v>
                </c:pt>
              </c:strCache>
            </c:strRef>
          </c:tx>
          <c:spPr>
            <a:solidFill>
              <a:srgbClr val="C6EFCE"/>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ysClr val="windowText" lastClr="000000"/>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LCOH!$U$17:$V$17</c:f>
              <c:strCache>
                <c:ptCount val="2"/>
                <c:pt idx="0">
                  <c:v>H2 Revenues</c:v>
                </c:pt>
                <c:pt idx="1">
                  <c:v>LCOH without PTC</c:v>
                </c:pt>
              </c:strCache>
            </c:strRef>
          </c:cat>
          <c:val>
            <c:numRef>
              <c:f>LCOH!$U$27:$V$27</c:f>
              <c:numCache>
                <c:formatCode>General</c:formatCode>
                <c:ptCount val="2"/>
                <c:pt idx="0" formatCode="&quot;$&quot;#,##0.00">
                  <c:v>2.4492750949977653</c:v>
                </c:pt>
              </c:numCache>
            </c:numRef>
          </c:val>
          <c:extLst>
            <c:ext xmlns:c16="http://schemas.microsoft.com/office/drawing/2014/chart" uri="{C3380CC4-5D6E-409C-BE32-E72D297353CC}">
              <c16:uniqueId val="{00000007-70CB-4721-BADE-C273136E5F07}"/>
            </c:ext>
          </c:extLst>
        </c:ser>
        <c:ser>
          <c:idx val="8"/>
          <c:order val="9"/>
          <c:tx>
            <c:strRef>
              <c:f>LCOH!$T$28</c:f>
              <c:strCache>
                <c:ptCount val="1"/>
                <c:pt idx="0">
                  <c:v>PTC: IRA 45V</c:v>
                </c:pt>
              </c:strCache>
            </c:strRef>
          </c:tx>
          <c:spPr>
            <a:solidFill>
              <a:srgbClr val="006100"/>
            </a:solidFill>
            <a:ln>
              <a:noFill/>
            </a:ln>
            <a:effectLst/>
          </c:spPr>
          <c:invertIfNegative val="0"/>
          <c:dLbls>
            <c:dLbl>
              <c:idx val="0"/>
              <c:layout>
                <c:manualLayout>
                  <c:x val="0"/>
                  <c:y val="-7.6015287135051275E-17"/>
                </c:manualLayout>
              </c:layout>
              <c:dLblPos val="ct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AE20-4DA4-B49E-B5864EA875FC}"/>
                </c:ext>
              </c:extLst>
            </c:dLbl>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LCOH!$U$17:$V$17</c:f>
              <c:strCache>
                <c:ptCount val="2"/>
                <c:pt idx="0">
                  <c:v>H2 Revenues</c:v>
                </c:pt>
                <c:pt idx="1">
                  <c:v>LCOH without PTC</c:v>
                </c:pt>
              </c:strCache>
            </c:strRef>
          </c:cat>
          <c:val>
            <c:numRef>
              <c:f>LCOH!$U$28:$V$28</c:f>
              <c:numCache>
                <c:formatCode>General</c:formatCode>
                <c:ptCount val="2"/>
                <c:pt idx="0" formatCode="&quot;$&quot;#,##0.00">
                  <c:v>1.8871862177790268</c:v>
                </c:pt>
              </c:numCache>
            </c:numRef>
          </c:val>
          <c:extLst>
            <c:ext xmlns:c16="http://schemas.microsoft.com/office/drawing/2014/chart" uri="{C3380CC4-5D6E-409C-BE32-E72D297353CC}">
              <c16:uniqueId val="{00000008-70CB-4721-BADE-C273136E5F07}"/>
            </c:ext>
          </c:extLst>
        </c:ser>
        <c:ser>
          <c:idx val="9"/>
          <c:order val="10"/>
          <c:tx>
            <c:strRef>
              <c:f>LCOH!$T$29</c:f>
              <c:strCache>
                <c:ptCount val="1"/>
                <c:pt idx="0">
                  <c:v>Electricity Sale</c:v>
                </c:pt>
              </c:strCache>
            </c:strRef>
          </c:tx>
          <c:spPr>
            <a:solidFill>
              <a:srgbClr val="63BE7B"/>
            </a:solidFill>
            <a:ln>
              <a:noFill/>
            </a:ln>
            <a:effectLst/>
          </c:spPr>
          <c:invertIfNegative val="0"/>
          <c:dLbls>
            <c:dLbl>
              <c:idx val="0"/>
              <c:layout>
                <c:manualLayout>
                  <c:x val="1.2923984279143406E-3"/>
                  <c:y val="-0.22390215952294279"/>
                </c:manualLayout>
              </c:layout>
              <c:dLblPos val="ct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AE20-4DA4-B49E-B5864EA875FC}"/>
                </c:ext>
              </c:extLst>
            </c:dLbl>
            <c:spPr>
              <a:noFill/>
              <a:ln>
                <a:solidFill>
                  <a:schemeClr val="tx1"/>
                </a:solidFill>
              </a:ln>
              <a:effectLst/>
            </c:spPr>
            <c:txPr>
              <a:bodyPr rot="0" spcFirstLastPara="1" vertOverflow="ellipsis" vert="horz" wrap="square" lIns="38100" tIns="19050" rIns="38100" bIns="19050" anchor="ctr" anchorCtr="1">
                <a:spAutoFit/>
              </a:bodyPr>
              <a:lstStyle/>
              <a:p>
                <a:pPr>
                  <a:defRPr sz="1200" b="0" i="0" u="none" strike="noStrike" kern="1200" baseline="0">
                    <a:solidFill>
                      <a:sysClr val="windowText" lastClr="000000"/>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LCOH!$U$29:$V$29</c:f>
              <c:numCache>
                <c:formatCode>General</c:formatCode>
                <c:ptCount val="2"/>
                <c:pt idx="0" formatCode="&quot;$&quot;#,##0.00">
                  <c:v>0</c:v>
                </c:pt>
              </c:numCache>
            </c:numRef>
          </c:val>
          <c:extLst>
            <c:ext xmlns:c16="http://schemas.microsoft.com/office/drawing/2014/chart" uri="{C3380CC4-5D6E-409C-BE32-E72D297353CC}">
              <c16:uniqueId val="{00000000-AE20-4DA4-B49E-B5864EA875FC}"/>
            </c:ext>
          </c:extLst>
        </c:ser>
        <c:dLbls>
          <c:dLblPos val="ctr"/>
          <c:showLegendKey val="0"/>
          <c:showVal val="1"/>
          <c:showCatName val="0"/>
          <c:showSerName val="0"/>
          <c:showPercent val="0"/>
          <c:showBubbleSize val="0"/>
        </c:dLbls>
        <c:gapWidth val="20"/>
        <c:overlap val="100"/>
        <c:axId val="1954867488"/>
        <c:axId val="1954862912"/>
      </c:barChart>
      <c:catAx>
        <c:axId val="1954867488"/>
        <c:scaling>
          <c:orientation val="minMax"/>
        </c:scaling>
        <c:delete val="0"/>
        <c:axPos val="l"/>
        <c:numFmt formatCode="General" sourceLinked="1"/>
        <c:majorTickMark val="none"/>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200" b="0" i="0" u="none" strike="noStrike" kern="1200" baseline="0">
                <a:solidFill>
                  <a:sysClr val="windowText" lastClr="000000"/>
                </a:solidFill>
                <a:latin typeface="+mn-lt"/>
                <a:ea typeface="+mn-ea"/>
                <a:cs typeface="+mn-cs"/>
              </a:defRPr>
            </a:pPr>
            <a:endParaRPr lang="en-US"/>
          </a:p>
        </c:txPr>
        <c:crossAx val="1954862912"/>
        <c:crosses val="autoZero"/>
        <c:auto val="1"/>
        <c:lblAlgn val="ctr"/>
        <c:lblOffset val="100"/>
        <c:noMultiLvlLbl val="0"/>
      </c:catAx>
      <c:valAx>
        <c:axId val="1954862912"/>
        <c:scaling>
          <c:orientation val="minMax"/>
        </c:scaling>
        <c:delete val="0"/>
        <c:axPos val="b"/>
        <c:majorGridlines>
          <c:spPr>
            <a:ln w="9525" cap="flat" cmpd="sng" algn="ctr">
              <a:solidFill>
                <a:schemeClr val="tx1">
                  <a:lumMod val="15000"/>
                  <a:lumOff val="85000"/>
                </a:schemeClr>
              </a:solidFill>
              <a:round/>
            </a:ln>
            <a:effectLst/>
          </c:spPr>
        </c:majorGridlines>
        <c:numFmt formatCode="&quot;$&quot;#,##0.00" sourceLinked="0"/>
        <c:majorTickMark val="none"/>
        <c:minorTickMark val="none"/>
        <c:tickLblPos val="nextTo"/>
        <c:spPr>
          <a:noFill/>
          <a:ln>
            <a:solidFill>
              <a:schemeClr val="tx1"/>
            </a:solidFill>
          </a:ln>
          <a:effectLst/>
        </c:spPr>
        <c:txPr>
          <a:bodyPr rot="-600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n-US"/>
          </a:p>
        </c:txPr>
        <c:crossAx val="1954867488"/>
        <c:crosses val="autoZero"/>
        <c:crossBetween val="between"/>
      </c:valAx>
      <c:spPr>
        <a:noFill/>
        <a:ln>
          <a:noFill/>
        </a:ln>
        <a:effectLst/>
      </c:spPr>
    </c:plotArea>
    <c:legend>
      <c:legendPos val="r"/>
      <c:layout>
        <c:manualLayout>
          <c:xMode val="edge"/>
          <c:yMode val="edge"/>
          <c:x val="0.85189673716208247"/>
          <c:y val="3.7160206003437724E-2"/>
          <c:w val="0.14437962891068826"/>
          <c:h val="0.82475623950152555"/>
        </c:manualLayout>
      </c:layout>
      <c:overlay val="0"/>
      <c:spPr>
        <a:noFill/>
        <a:ln>
          <a:noFill/>
        </a:ln>
        <a:effectLst/>
      </c:spPr>
      <c:txPr>
        <a:bodyPr rot="0" spcFirstLastPara="1" vertOverflow="ellipsis" vert="horz" wrap="square" anchor="ctr" anchorCtr="1"/>
        <a:lstStyle/>
        <a:p>
          <a:pPr>
            <a:defRPr sz="1000" b="0" i="0" u="none" strike="noStrike" kern="1200" spc="-50" baseline="0">
              <a:solidFill>
                <a:sysClr val="windowText" lastClr="000000"/>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28575" cap="flat" cmpd="sng" algn="ctr">
      <a:solidFill>
        <a:schemeClr val="tx1"/>
      </a:solidFill>
      <a:round/>
    </a:ln>
    <a:effectLst/>
  </c:spPr>
  <c:txPr>
    <a:bodyPr/>
    <a:lstStyle/>
    <a:p>
      <a:pPr>
        <a:defRPr>
          <a:solidFill>
            <a:sysClr val="windowText" lastClr="000000"/>
          </a:solidFill>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Correlations!$A$102</c:f>
          <c:strCache>
            <c:ptCount val="1"/>
            <c:pt idx="0">
              <c:v>(a) HTSE: Competitiveness with Respect to Electricity Price</c:v>
            </c:pt>
          </c:strCache>
        </c:strRef>
      </c:tx>
      <c:layout>
        <c:manualLayout>
          <c:xMode val="edge"/>
          <c:yMode val="edge"/>
          <c:x val="0.24094254801888815"/>
          <c:y val="1.0282395256148534E-2"/>
        </c:manualLayout>
      </c:layout>
      <c:overlay val="0"/>
      <c:spPr>
        <a:noFill/>
        <a:ln>
          <a:noFill/>
        </a:ln>
        <a:effectLst/>
      </c:spPr>
      <c:txPr>
        <a:bodyPr rot="0" spcFirstLastPara="1" vertOverflow="ellipsis" vert="horz" wrap="square" anchor="ctr" anchorCtr="1"/>
        <a:lstStyle/>
        <a:p>
          <a:pPr>
            <a:defRPr sz="1500" b="1" i="0" u="none" strike="noStrike" kern="1200" spc="0" baseline="0">
              <a:solidFill>
                <a:schemeClr val="tx1"/>
              </a:solidFill>
              <a:latin typeface="+mn-lt"/>
              <a:ea typeface="+mn-ea"/>
              <a:cs typeface="+mn-cs"/>
            </a:defRPr>
          </a:pPr>
          <a:endParaRPr lang="en-US"/>
        </a:p>
      </c:txPr>
    </c:title>
    <c:autoTitleDeleted val="0"/>
    <c:plotArea>
      <c:layout>
        <c:manualLayout>
          <c:layoutTarget val="inner"/>
          <c:xMode val="edge"/>
          <c:yMode val="edge"/>
          <c:x val="0.13861730703050024"/>
          <c:y val="7.7976540740650691E-2"/>
          <c:w val="0.79771759260621"/>
          <c:h val="0.5250003096648076"/>
        </c:manualLayout>
      </c:layout>
      <c:scatterChart>
        <c:scatterStyle val="lineMarker"/>
        <c:varyColors val="0"/>
        <c:ser>
          <c:idx val="1"/>
          <c:order val="0"/>
          <c:tx>
            <c:strRef>
              <c:f>Correlations!$C$107</c:f>
              <c:strCache>
                <c:ptCount val="1"/>
                <c:pt idx="0">
                  <c:v>NPP-HTSE, PTC=$0/kg</c:v>
                </c:pt>
              </c:strCache>
            </c:strRef>
          </c:tx>
          <c:spPr>
            <a:ln w="63500" cap="rnd" cmpd="dbl">
              <a:solidFill>
                <a:srgbClr val="0070C0"/>
              </a:solidFill>
              <a:prstDash val="solid"/>
              <a:round/>
            </a:ln>
            <a:effectLst/>
          </c:spPr>
          <c:marker>
            <c:symbol val="none"/>
          </c:marker>
          <c:xVal>
            <c:numRef>
              <c:f>Correlations!$E$103:$Z$103</c:f>
              <c:numCache>
                <c:formatCode>"$"#,##0.00</c:formatCode>
                <c:ptCount val="22"/>
                <c:pt idx="0">
                  <c:v>0</c:v>
                </c:pt>
                <c:pt idx="1">
                  <c:v>10</c:v>
                </c:pt>
                <c:pt idx="2">
                  <c:v>20</c:v>
                </c:pt>
                <c:pt idx="3">
                  <c:v>30</c:v>
                </c:pt>
                <c:pt idx="4">
                  <c:v>40</c:v>
                </c:pt>
                <c:pt idx="5">
                  <c:v>50</c:v>
                </c:pt>
                <c:pt idx="6">
                  <c:v>60</c:v>
                </c:pt>
                <c:pt idx="7">
                  <c:v>70</c:v>
                </c:pt>
                <c:pt idx="8">
                  <c:v>80</c:v>
                </c:pt>
                <c:pt idx="9">
                  <c:v>90</c:v>
                </c:pt>
                <c:pt idx="10">
                  <c:v>100</c:v>
                </c:pt>
                <c:pt idx="11">
                  <c:v>110</c:v>
                </c:pt>
                <c:pt idx="12">
                  <c:v>120</c:v>
                </c:pt>
                <c:pt idx="13">
                  <c:v>130</c:v>
                </c:pt>
                <c:pt idx="14">
                  <c:v>140</c:v>
                </c:pt>
                <c:pt idx="15">
                  <c:v>150</c:v>
                </c:pt>
                <c:pt idx="16">
                  <c:v>160</c:v>
                </c:pt>
                <c:pt idx="17">
                  <c:v>170</c:v>
                </c:pt>
                <c:pt idx="18">
                  <c:v>180</c:v>
                </c:pt>
                <c:pt idx="19">
                  <c:v>190</c:v>
                </c:pt>
                <c:pt idx="20">
                  <c:v>200</c:v>
                </c:pt>
                <c:pt idx="21">
                  <c:v>200</c:v>
                </c:pt>
              </c:numCache>
            </c:numRef>
          </c:xVal>
          <c:yVal>
            <c:numRef>
              <c:f>Correlations!$E$107:$Z$107</c:f>
              <c:numCache>
                <c:formatCode>"$"#,##0.00</c:formatCode>
                <c:ptCount val="22"/>
                <c:pt idx="0">
                  <c:v>1.2707031573270908</c:v>
                </c:pt>
                <c:pt idx="1">
                  <c:v>1.7276617797831371</c:v>
                </c:pt>
                <c:pt idx="2">
                  <c:v>2.0339749893305692</c:v>
                </c:pt>
                <c:pt idx="3">
                  <c:v>2.3461344410312091</c:v>
                </c:pt>
                <c:pt idx="4">
                  <c:v>2.6611578913426328</c:v>
                </c:pt>
                <c:pt idx="5">
                  <c:v>3.0002787225633334</c:v>
                </c:pt>
                <c:pt idx="6">
                  <c:v>3.4080417752484014</c:v>
                </c:pt>
                <c:pt idx="7">
                  <c:v>3.8158048279334684</c:v>
                </c:pt>
                <c:pt idx="8">
                  <c:v>4.2235678806185373</c:v>
                </c:pt>
                <c:pt idx="9">
                  <c:v>4.6313309333036052</c:v>
                </c:pt>
                <c:pt idx="10">
                  <c:v>5.0390939859886714</c:v>
                </c:pt>
                <c:pt idx="11">
                  <c:v>5.4468570386737394</c:v>
                </c:pt>
                <c:pt idx="12">
                  <c:v>5.8546200913588073</c:v>
                </c:pt>
                <c:pt idx="13">
                  <c:v>6.2623831440438744</c:v>
                </c:pt>
                <c:pt idx="14">
                  <c:v>6.6701461967289433</c:v>
                </c:pt>
                <c:pt idx="15">
                  <c:v>7.0779092494140112</c:v>
                </c:pt>
                <c:pt idx="16">
                  <c:v>7.4856723020990801</c:v>
                </c:pt>
                <c:pt idx="17">
                  <c:v>7.8934353547841454</c:v>
                </c:pt>
                <c:pt idx="18">
                  <c:v>8.3011984074692116</c:v>
                </c:pt>
                <c:pt idx="19">
                  <c:v>8.7089614601542795</c:v>
                </c:pt>
                <c:pt idx="20">
                  <c:v>9.1167245128393493</c:v>
                </c:pt>
                <c:pt idx="21">
                  <c:v>2.4862772203096171</c:v>
                </c:pt>
              </c:numCache>
            </c:numRef>
          </c:yVal>
          <c:smooth val="0"/>
          <c:extLst>
            <c:ext xmlns:c16="http://schemas.microsoft.com/office/drawing/2014/chart" uri="{C3380CC4-5D6E-409C-BE32-E72D297353CC}">
              <c16:uniqueId val="{00000001-DA28-4C29-BC52-20C0337F7EC3}"/>
            </c:ext>
          </c:extLst>
        </c:ser>
        <c:ser>
          <c:idx val="2"/>
          <c:order val="1"/>
          <c:tx>
            <c:strRef>
              <c:f>Correlations!$C$108</c:f>
              <c:strCache>
                <c:ptCount val="1"/>
                <c:pt idx="0">
                  <c:v>NPP-HTSE, PTC=$3/kg</c:v>
                </c:pt>
              </c:strCache>
            </c:strRef>
          </c:tx>
          <c:spPr>
            <a:ln w="38100" cap="rnd" cmpd="dbl">
              <a:solidFill>
                <a:srgbClr val="0070C0"/>
              </a:solidFill>
              <a:prstDash val="dash"/>
              <a:round/>
            </a:ln>
            <a:effectLst/>
          </c:spPr>
          <c:marker>
            <c:symbol val="none"/>
          </c:marker>
          <c:xVal>
            <c:numRef>
              <c:f>Correlations!$E$103:$Z$103</c:f>
              <c:numCache>
                <c:formatCode>"$"#,##0.00</c:formatCode>
                <c:ptCount val="22"/>
                <c:pt idx="0">
                  <c:v>0</c:v>
                </c:pt>
                <c:pt idx="1">
                  <c:v>10</c:v>
                </c:pt>
                <c:pt idx="2">
                  <c:v>20</c:v>
                </c:pt>
                <c:pt idx="3">
                  <c:v>30</c:v>
                </c:pt>
                <c:pt idx="4">
                  <c:v>40</c:v>
                </c:pt>
                <c:pt idx="5">
                  <c:v>50</c:v>
                </c:pt>
                <c:pt idx="6">
                  <c:v>60</c:v>
                </c:pt>
                <c:pt idx="7">
                  <c:v>70</c:v>
                </c:pt>
                <c:pt idx="8">
                  <c:v>80</c:v>
                </c:pt>
                <c:pt idx="9">
                  <c:v>90</c:v>
                </c:pt>
                <c:pt idx="10">
                  <c:v>100</c:v>
                </c:pt>
                <c:pt idx="11">
                  <c:v>110</c:v>
                </c:pt>
                <c:pt idx="12">
                  <c:v>120</c:v>
                </c:pt>
                <c:pt idx="13">
                  <c:v>130</c:v>
                </c:pt>
                <c:pt idx="14">
                  <c:v>140</c:v>
                </c:pt>
                <c:pt idx="15">
                  <c:v>150</c:v>
                </c:pt>
                <c:pt idx="16">
                  <c:v>160</c:v>
                </c:pt>
                <c:pt idx="17">
                  <c:v>170</c:v>
                </c:pt>
                <c:pt idx="18">
                  <c:v>180</c:v>
                </c:pt>
                <c:pt idx="19">
                  <c:v>190</c:v>
                </c:pt>
                <c:pt idx="20">
                  <c:v>200</c:v>
                </c:pt>
                <c:pt idx="21">
                  <c:v>200</c:v>
                </c:pt>
              </c:numCache>
            </c:numRef>
          </c:xVal>
          <c:yVal>
            <c:numRef>
              <c:f>Correlations!$E$108:$Z$108</c:f>
              <c:numCache>
                <c:formatCode>"$"#,##0.00</c:formatCode>
                <c:ptCount val="22"/>
                <c:pt idx="0">
                  <c:v>-0.61648306045193668</c:v>
                </c:pt>
                <c:pt idx="1">
                  <c:v>-0.15952443799589022</c:v>
                </c:pt>
                <c:pt idx="2">
                  <c:v>0.14678877155154191</c:v>
                </c:pt>
                <c:pt idx="3">
                  <c:v>0.45894822325218176</c:v>
                </c:pt>
                <c:pt idx="4">
                  <c:v>0.77397167356360552</c:v>
                </c:pt>
                <c:pt idx="5">
                  <c:v>1.1130925047843061</c:v>
                </c:pt>
                <c:pt idx="6">
                  <c:v>1.5208555574693741</c:v>
                </c:pt>
                <c:pt idx="7">
                  <c:v>1.9286186101544411</c:v>
                </c:pt>
                <c:pt idx="8">
                  <c:v>2.3363816628395098</c:v>
                </c:pt>
                <c:pt idx="9">
                  <c:v>2.7441447155245777</c:v>
                </c:pt>
                <c:pt idx="10">
                  <c:v>3.1519077682096439</c:v>
                </c:pt>
                <c:pt idx="11">
                  <c:v>3.5596708208947119</c:v>
                </c:pt>
                <c:pt idx="12">
                  <c:v>3.9674338735797798</c:v>
                </c:pt>
                <c:pt idx="13">
                  <c:v>4.3751969262648469</c:v>
                </c:pt>
                <c:pt idx="14">
                  <c:v>4.7829599789499158</c:v>
                </c:pt>
                <c:pt idx="15">
                  <c:v>5.1907230316349837</c:v>
                </c:pt>
                <c:pt idx="16">
                  <c:v>5.5984860843200526</c:v>
                </c:pt>
                <c:pt idx="17">
                  <c:v>6.0062491370051179</c:v>
                </c:pt>
                <c:pt idx="18">
                  <c:v>6.4140121896901841</c:v>
                </c:pt>
                <c:pt idx="19">
                  <c:v>6.821775242375252</c:v>
                </c:pt>
                <c:pt idx="20">
                  <c:v>7.2295382950603218</c:v>
                </c:pt>
                <c:pt idx="21">
                  <c:v>0.59909100253058911</c:v>
                </c:pt>
              </c:numCache>
            </c:numRef>
          </c:yVal>
          <c:smooth val="0"/>
          <c:extLst>
            <c:ext xmlns:c16="http://schemas.microsoft.com/office/drawing/2014/chart" uri="{C3380CC4-5D6E-409C-BE32-E72D297353CC}">
              <c16:uniqueId val="{00000002-DA28-4C29-BC52-20C0337F7EC3}"/>
            </c:ext>
          </c:extLst>
        </c:ser>
        <c:ser>
          <c:idx val="3"/>
          <c:order val="2"/>
          <c:tx>
            <c:strRef>
              <c:f>Correlations!$C$106</c:f>
              <c:strCache>
                <c:ptCount val="1"/>
                <c:pt idx="0">
                  <c:v>Hydrogen Market Price: User-defined (uncorrelated with NG and elec price)</c:v>
                </c:pt>
              </c:strCache>
            </c:strRef>
          </c:tx>
          <c:spPr>
            <a:ln w="25400" cap="rnd" cmpd="sng" algn="ctr">
              <a:solidFill>
                <a:srgbClr val="FF0000"/>
              </a:solidFill>
              <a:prstDash val="solid"/>
              <a:round/>
              <a:headEnd type="none" w="med" len="med"/>
              <a:tailEnd type="none" w="med" len="med"/>
            </a:ln>
            <a:effectLst/>
          </c:spPr>
          <c:marker>
            <c:symbol val="none"/>
          </c:marker>
          <c:xVal>
            <c:numRef>
              <c:f>Correlations!$E$103:$Z$103</c:f>
              <c:numCache>
                <c:formatCode>"$"#,##0.00</c:formatCode>
                <c:ptCount val="22"/>
                <c:pt idx="0">
                  <c:v>0</c:v>
                </c:pt>
                <c:pt idx="1">
                  <c:v>10</c:v>
                </c:pt>
                <c:pt idx="2">
                  <c:v>20</c:v>
                </c:pt>
                <c:pt idx="3">
                  <c:v>30</c:v>
                </c:pt>
                <c:pt idx="4">
                  <c:v>40</c:v>
                </c:pt>
                <c:pt idx="5">
                  <c:v>50</c:v>
                </c:pt>
                <c:pt idx="6">
                  <c:v>60</c:v>
                </c:pt>
                <c:pt idx="7">
                  <c:v>70</c:v>
                </c:pt>
                <c:pt idx="8">
                  <c:v>80</c:v>
                </c:pt>
                <c:pt idx="9">
                  <c:v>90</c:v>
                </c:pt>
                <c:pt idx="10">
                  <c:v>100</c:v>
                </c:pt>
                <c:pt idx="11">
                  <c:v>110</c:v>
                </c:pt>
                <c:pt idx="12">
                  <c:v>120</c:v>
                </c:pt>
                <c:pt idx="13">
                  <c:v>130</c:v>
                </c:pt>
                <c:pt idx="14">
                  <c:v>140</c:v>
                </c:pt>
                <c:pt idx="15">
                  <c:v>150</c:v>
                </c:pt>
                <c:pt idx="16">
                  <c:v>160</c:v>
                </c:pt>
                <c:pt idx="17">
                  <c:v>170</c:v>
                </c:pt>
                <c:pt idx="18">
                  <c:v>180</c:v>
                </c:pt>
                <c:pt idx="19">
                  <c:v>190</c:v>
                </c:pt>
                <c:pt idx="20">
                  <c:v>200</c:v>
                </c:pt>
                <c:pt idx="21">
                  <c:v>200</c:v>
                </c:pt>
              </c:numCache>
            </c:numRef>
          </c:xVal>
          <c:yVal>
            <c:numRef>
              <c:f>Correlations!$E$106:$Z$106</c:f>
              <c:numCache>
                <c:formatCode>"$"#,##0.00</c:formatCode>
                <c:ptCount val="22"/>
                <c:pt idx="0">
                  <c:v>2.5</c:v>
                </c:pt>
                <c:pt idx="1">
                  <c:v>2.5</c:v>
                </c:pt>
                <c:pt idx="2">
                  <c:v>2.5</c:v>
                </c:pt>
                <c:pt idx="3">
                  <c:v>2.5</c:v>
                </c:pt>
                <c:pt idx="4">
                  <c:v>2.5</c:v>
                </c:pt>
                <c:pt idx="5">
                  <c:v>2.5</c:v>
                </c:pt>
                <c:pt idx="6">
                  <c:v>2.5</c:v>
                </c:pt>
                <c:pt idx="7">
                  <c:v>2.5</c:v>
                </c:pt>
                <c:pt idx="8">
                  <c:v>2.5</c:v>
                </c:pt>
                <c:pt idx="9">
                  <c:v>2.5</c:v>
                </c:pt>
                <c:pt idx="10">
                  <c:v>2.5</c:v>
                </c:pt>
                <c:pt idx="11">
                  <c:v>2.5</c:v>
                </c:pt>
                <c:pt idx="12">
                  <c:v>2.5</c:v>
                </c:pt>
                <c:pt idx="13">
                  <c:v>2.5</c:v>
                </c:pt>
                <c:pt idx="14">
                  <c:v>2.5</c:v>
                </c:pt>
                <c:pt idx="15">
                  <c:v>2.5</c:v>
                </c:pt>
                <c:pt idx="16">
                  <c:v>2.5</c:v>
                </c:pt>
                <c:pt idx="17">
                  <c:v>2.5</c:v>
                </c:pt>
                <c:pt idx="18">
                  <c:v>2.5</c:v>
                </c:pt>
                <c:pt idx="19">
                  <c:v>2.5</c:v>
                </c:pt>
                <c:pt idx="20">
                  <c:v>2.5</c:v>
                </c:pt>
                <c:pt idx="21">
                  <c:v>2.5</c:v>
                </c:pt>
              </c:numCache>
            </c:numRef>
          </c:yVal>
          <c:smooth val="0"/>
          <c:extLst>
            <c:ext xmlns:c16="http://schemas.microsoft.com/office/drawing/2014/chart" uri="{C3380CC4-5D6E-409C-BE32-E72D297353CC}">
              <c16:uniqueId val="{00000003-DA28-4C29-BC52-20C0337F7EC3}"/>
            </c:ext>
          </c:extLst>
        </c:ser>
        <c:ser>
          <c:idx val="4"/>
          <c:order val="3"/>
          <c:tx>
            <c:strRef>
              <c:f>Correlations!$A$118</c:f>
              <c:strCache>
                <c:ptCount val="1"/>
                <c:pt idx="0">
                  <c:v>Intersection Points</c:v>
                </c:pt>
              </c:strCache>
            </c:strRef>
          </c:tx>
          <c:spPr>
            <a:ln w="25400" cap="rnd">
              <a:noFill/>
              <a:round/>
            </a:ln>
            <a:effectLst/>
          </c:spPr>
          <c:marker>
            <c:symbol val="star"/>
            <c:size val="7"/>
            <c:spPr>
              <a:noFill/>
              <a:ln w="63500">
                <a:solidFill>
                  <a:srgbClr val="7030A0"/>
                </a:solidFill>
              </a:ln>
              <a:effectLst/>
              <a:extLst>
                <a:ext uri="{909E8E84-426E-40DD-AFC4-6F175D3DCCD1}">
                  <a14:hiddenFill xmlns:a14="http://schemas.microsoft.com/office/drawing/2010/main">
                    <a:solidFill>
                      <a:srgbClr val="5B9BD5"/>
                    </a:solidFill>
                  </a14:hiddenFill>
                </a:ext>
              </a:extLst>
            </c:spPr>
          </c:marker>
          <c:dLbls>
            <c:dLbl>
              <c:idx val="1"/>
              <c:layout>
                <c:manualLayout>
                  <c:x val="-3.6022124959333289E-2"/>
                  <c:y val="8.0591460943389578E-2"/>
                </c:manualLayout>
              </c:layout>
              <c:showLegendKey val="0"/>
              <c:showVal val="1"/>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0-340E-472A-961B-74BA76E121DB}"/>
                </c:ext>
              </c:extLst>
            </c:dLbl>
            <c:dLbl>
              <c:idx val="2"/>
              <c:layout>
                <c:manualLayout>
                  <c:x val="-1.2607743735766652E-2"/>
                  <c:y val="-9.4023371100621297E-2"/>
                </c:manualLayout>
              </c:layout>
              <c:showLegendKey val="0"/>
              <c:showVal val="1"/>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3-FF5D-4D4F-8719-10A8E1A38FDC}"/>
                </c:ext>
              </c:extLst>
            </c:dLbl>
            <c:dLbl>
              <c:idx val="3"/>
              <c:layout>
                <c:manualLayout>
                  <c:x val="7.9248674910533237E-2"/>
                  <c:y val="4.2982112503141164E-2"/>
                </c:manualLayout>
              </c:layout>
              <c:showLegendKey val="0"/>
              <c:showVal val="1"/>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0-FF5D-4D4F-8719-10A8E1A38FDC}"/>
                </c:ext>
              </c:extLst>
            </c:dLbl>
            <c:dLbl>
              <c:idx val="4"/>
              <c:layout>
                <c:manualLayout>
                  <c:x val="6.4839824926799919E-2"/>
                  <c:y val="6.1786786723265423E-2"/>
                </c:manualLayout>
              </c:layout>
              <c:showLegendKey val="0"/>
              <c:showVal val="1"/>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2-FF5D-4D4F-8719-10A8E1A38FDC}"/>
                </c:ext>
              </c:extLst>
            </c:dLbl>
            <c:dLbl>
              <c:idx val="5"/>
              <c:layout>
                <c:manualLayout>
                  <c:x val="-6.1237612430866596E-2"/>
                  <c:y val="-7.5218696880497038E-2"/>
                </c:manualLayout>
              </c:layout>
              <c:showLegendKey val="0"/>
              <c:showVal val="1"/>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1-FF5D-4D4F-8719-10A8E1A38FDC}"/>
                </c:ext>
              </c:extLst>
            </c:dLbl>
            <c:spPr>
              <a:solidFill>
                <a:sysClr val="window" lastClr="FFFFFF">
                  <a:lumMod val="100000"/>
                </a:sysClr>
              </a:solidFill>
              <a:ln w="9525" cap="flat" cmpd="sng" algn="ctr">
                <a:solidFill>
                  <a:sysClr val="windowText" lastClr="000000">
                    <a:lumMod val="100000"/>
                  </a:sysClr>
                </a:solidFill>
                <a:prstDash val="solid"/>
                <a:round/>
                <a:headEnd type="none" w="med" len="med"/>
                <a:tailEnd type="none" w="med" len="med"/>
              </a:ln>
              <a:effectLst/>
            </c:spPr>
            <c:txPr>
              <a:bodyPr rot="0" spcFirstLastPara="1" vertOverflow="ellipsis" vert="horz" wrap="square" lIns="38100" tIns="19050" rIns="38100" bIns="19050" anchor="ctr" anchorCtr="1">
                <a:spAutoFit/>
              </a:bodyPr>
              <a:lstStyle/>
              <a:p>
                <a:pPr>
                  <a:defRPr sz="14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1"/>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Correlations!$N$120:$N$125</c:f>
              <c:numCache>
                <c:formatCode>"$"#,##0.00</c:formatCode>
                <c:ptCount val="6"/>
                <c:pt idx="0">
                  <c:v>-15.285680967525163</c:v>
                </c:pt>
                <c:pt idx="1">
                  <c:v>2.7397006349554145</c:v>
                </c:pt>
                <c:pt idx="2">
                  <c:v>33.959085331219164</c:v>
                </c:pt>
                <c:pt idx="3">
                  <c:v>37.370991762706055</c:v>
                </c:pt>
                <c:pt idx="4">
                  <c:v>56.400742861150356</c:v>
                </c:pt>
                <c:pt idx="5">
                  <c:v>83.789617979668677</c:v>
                </c:pt>
              </c:numCache>
            </c:numRef>
          </c:xVal>
          <c:yVal>
            <c:numRef>
              <c:f>Correlations!$M$120:$M$125</c:f>
              <c:numCache>
                <c:formatCode>"$"#,##0.00</c:formatCode>
                <c:ptCount val="6"/>
                <c:pt idx="0">
                  <c:v>0.73229249883278413</c:v>
                </c:pt>
                <c:pt idx="1">
                  <c:v>1.3681826144643658</c:v>
                </c:pt>
                <c:pt idx="2">
                  <c:v>2.4999835130859385</c:v>
                </c:pt>
                <c:pt idx="3">
                  <c:v>0.73883065421650684</c:v>
                </c:pt>
                <c:pt idx="4">
                  <c:v>1.4502370175997574</c:v>
                </c:pt>
                <c:pt idx="5">
                  <c:v>2.4993287448699979</c:v>
                </c:pt>
              </c:numCache>
            </c:numRef>
          </c:yVal>
          <c:smooth val="0"/>
          <c:extLst xmlns:c15="http://schemas.microsoft.com/office/drawing/2012/chart">
            <c:ext xmlns:c16="http://schemas.microsoft.com/office/drawing/2014/chart" uri="{C3380CC4-5D6E-409C-BE32-E72D297353CC}">
              <c16:uniqueId val="{00000000-2562-4410-BD84-1EAC80101B9B}"/>
            </c:ext>
          </c:extLst>
        </c:ser>
        <c:ser>
          <c:idx val="0"/>
          <c:order val="4"/>
          <c:tx>
            <c:strRef>
              <c:f>Correlations!$C$104</c:f>
              <c:strCache>
                <c:ptCount val="1"/>
                <c:pt idx="0">
                  <c:v>LCOH: SMR with CCS (correlated with NG price)</c:v>
                </c:pt>
              </c:strCache>
            </c:strRef>
          </c:tx>
          <c:spPr>
            <a:ln w="38100" cap="rnd" cmpd="sng" algn="ctr">
              <a:solidFill>
                <a:srgbClr val="63BE7B"/>
              </a:solidFill>
              <a:prstDash val="sysDash"/>
              <a:round/>
              <a:headEnd type="none" w="med" len="med"/>
              <a:tailEnd type="none" w="med" len="med"/>
            </a:ln>
            <a:effectLst/>
          </c:spPr>
          <c:marker>
            <c:symbol val="none"/>
          </c:marker>
          <c:xVal>
            <c:numRef>
              <c:f>Correlations!$E$103:$Z$103</c:f>
              <c:numCache>
                <c:formatCode>"$"#,##0.00</c:formatCode>
                <c:ptCount val="22"/>
                <c:pt idx="0">
                  <c:v>0</c:v>
                </c:pt>
                <c:pt idx="1">
                  <c:v>10</c:v>
                </c:pt>
                <c:pt idx="2">
                  <c:v>20</c:v>
                </c:pt>
                <c:pt idx="3">
                  <c:v>30</c:v>
                </c:pt>
                <c:pt idx="4">
                  <c:v>40</c:v>
                </c:pt>
                <c:pt idx="5">
                  <c:v>50</c:v>
                </c:pt>
                <c:pt idx="6">
                  <c:v>60</c:v>
                </c:pt>
                <c:pt idx="7">
                  <c:v>70</c:v>
                </c:pt>
                <c:pt idx="8">
                  <c:v>80</c:v>
                </c:pt>
                <c:pt idx="9">
                  <c:v>90</c:v>
                </c:pt>
                <c:pt idx="10">
                  <c:v>100</c:v>
                </c:pt>
                <c:pt idx="11">
                  <c:v>110</c:v>
                </c:pt>
                <c:pt idx="12">
                  <c:v>120</c:v>
                </c:pt>
                <c:pt idx="13">
                  <c:v>130</c:v>
                </c:pt>
                <c:pt idx="14">
                  <c:v>140</c:v>
                </c:pt>
                <c:pt idx="15">
                  <c:v>150</c:v>
                </c:pt>
                <c:pt idx="16">
                  <c:v>160</c:v>
                </c:pt>
                <c:pt idx="17">
                  <c:v>170</c:v>
                </c:pt>
                <c:pt idx="18">
                  <c:v>180</c:v>
                </c:pt>
                <c:pt idx="19">
                  <c:v>190</c:v>
                </c:pt>
                <c:pt idx="20">
                  <c:v>200</c:v>
                </c:pt>
                <c:pt idx="21">
                  <c:v>200</c:v>
                </c:pt>
              </c:numCache>
            </c:numRef>
          </c:xVal>
          <c:yVal>
            <c:numRef>
              <c:f>Correlations!$E$104:$Z$104</c:f>
              <c:numCache>
                <c:formatCode>"$"#,##0.00</c:formatCode>
                <c:ptCount val="22"/>
                <c:pt idx="0">
                  <c:v>1.3639408070735801</c:v>
                </c:pt>
                <c:pt idx="1">
                  <c:v>1.379243051669387</c:v>
                </c:pt>
                <c:pt idx="2">
                  <c:v>1.3945452962651945</c:v>
                </c:pt>
                <c:pt idx="3">
                  <c:v>1.4098475408610016</c:v>
                </c:pt>
                <c:pt idx="4">
                  <c:v>1.4251497854568078</c:v>
                </c:pt>
                <c:pt idx="5">
                  <c:v>1.4404520300526156</c:v>
                </c:pt>
                <c:pt idx="6">
                  <c:v>1.4557542746484229</c:v>
                </c:pt>
                <c:pt idx="7">
                  <c:v>1.4710565192442291</c:v>
                </c:pt>
                <c:pt idx="8">
                  <c:v>1.4863587638400366</c:v>
                </c:pt>
                <c:pt idx="9">
                  <c:v>1.5016610084358439</c:v>
                </c:pt>
                <c:pt idx="10">
                  <c:v>1.5169632530316506</c:v>
                </c:pt>
                <c:pt idx="11">
                  <c:v>1.5322654976274572</c:v>
                </c:pt>
                <c:pt idx="12">
                  <c:v>1.5475677422232641</c:v>
                </c:pt>
                <c:pt idx="13">
                  <c:v>1.5628699868190714</c:v>
                </c:pt>
                <c:pt idx="14">
                  <c:v>1.5781722314148785</c:v>
                </c:pt>
                <c:pt idx="15">
                  <c:v>1.5934744760106847</c:v>
                </c:pt>
                <c:pt idx="16">
                  <c:v>1.6087767206064925</c:v>
                </c:pt>
                <c:pt idx="17">
                  <c:v>1.6240789652022998</c:v>
                </c:pt>
                <c:pt idx="18">
                  <c:v>1.6393812097981073</c:v>
                </c:pt>
                <c:pt idx="19">
                  <c:v>1.6546834543939137</c:v>
                </c:pt>
                <c:pt idx="20">
                  <c:v>1.6699856989897197</c:v>
                </c:pt>
                <c:pt idx="21">
                  <c:v>1.6699856989897197</c:v>
                </c:pt>
              </c:numCache>
            </c:numRef>
          </c:yVal>
          <c:smooth val="0"/>
          <c:extLst>
            <c:ext xmlns:c16="http://schemas.microsoft.com/office/drawing/2014/chart" uri="{C3380CC4-5D6E-409C-BE32-E72D297353CC}">
              <c16:uniqueId val="{00000001-9CCC-413E-AEAE-D8B5AE3592F2}"/>
            </c:ext>
          </c:extLst>
        </c:ser>
        <c:ser>
          <c:idx val="5"/>
          <c:order val="5"/>
          <c:tx>
            <c:strRef>
              <c:f>Correlations!$C$105</c:f>
              <c:strCache>
                <c:ptCount val="1"/>
                <c:pt idx="0">
                  <c:v>LCOH: SMR without CCS (Correlated with NG price)</c:v>
                </c:pt>
              </c:strCache>
            </c:strRef>
          </c:tx>
          <c:spPr>
            <a:ln w="38100" cap="rnd" cmpd="sng" algn="ctr">
              <a:solidFill>
                <a:srgbClr val="63BE7B"/>
              </a:solidFill>
              <a:prstDash val="sysDot"/>
              <a:round/>
              <a:headEnd type="none" w="med" len="med"/>
              <a:tailEnd type="none" w="med" len="med"/>
            </a:ln>
            <a:effectLst/>
          </c:spPr>
          <c:marker>
            <c:symbol val="none"/>
          </c:marker>
          <c:xVal>
            <c:numRef>
              <c:f>Correlations!$E$103:$Z$103</c:f>
              <c:numCache>
                <c:formatCode>"$"#,##0.00</c:formatCode>
                <c:ptCount val="22"/>
                <c:pt idx="0">
                  <c:v>0</c:v>
                </c:pt>
                <c:pt idx="1">
                  <c:v>10</c:v>
                </c:pt>
                <c:pt idx="2">
                  <c:v>20</c:v>
                </c:pt>
                <c:pt idx="3">
                  <c:v>30</c:v>
                </c:pt>
                <c:pt idx="4">
                  <c:v>40</c:v>
                </c:pt>
                <c:pt idx="5">
                  <c:v>50</c:v>
                </c:pt>
                <c:pt idx="6">
                  <c:v>60</c:v>
                </c:pt>
                <c:pt idx="7">
                  <c:v>70</c:v>
                </c:pt>
                <c:pt idx="8">
                  <c:v>80</c:v>
                </c:pt>
                <c:pt idx="9">
                  <c:v>90</c:v>
                </c:pt>
                <c:pt idx="10">
                  <c:v>100</c:v>
                </c:pt>
                <c:pt idx="11">
                  <c:v>110</c:v>
                </c:pt>
                <c:pt idx="12">
                  <c:v>120</c:v>
                </c:pt>
                <c:pt idx="13">
                  <c:v>130</c:v>
                </c:pt>
                <c:pt idx="14">
                  <c:v>140</c:v>
                </c:pt>
                <c:pt idx="15">
                  <c:v>150</c:v>
                </c:pt>
                <c:pt idx="16">
                  <c:v>160</c:v>
                </c:pt>
                <c:pt idx="17">
                  <c:v>170</c:v>
                </c:pt>
                <c:pt idx="18">
                  <c:v>180</c:v>
                </c:pt>
                <c:pt idx="19">
                  <c:v>190</c:v>
                </c:pt>
                <c:pt idx="20">
                  <c:v>200</c:v>
                </c:pt>
                <c:pt idx="21">
                  <c:v>200</c:v>
                </c:pt>
              </c:numCache>
            </c:numRef>
          </c:xVal>
          <c:yVal>
            <c:numRef>
              <c:f>Correlations!$E$105:$Z$105</c:f>
              <c:numCache>
                <c:formatCode>"$"#,##0.00</c:formatCode>
                <c:ptCount val="22"/>
                <c:pt idx="0">
                  <c:v>0.73387639233091773</c:v>
                </c:pt>
                <c:pt idx="1">
                  <c:v>0.73521223619607345</c:v>
                </c:pt>
                <c:pt idx="2">
                  <c:v>0.73654808006122996</c:v>
                </c:pt>
                <c:pt idx="3">
                  <c:v>0.73788392392638646</c:v>
                </c:pt>
                <c:pt idx="4">
                  <c:v>0.73921976779154186</c:v>
                </c:pt>
                <c:pt idx="5">
                  <c:v>0.74055561165669814</c:v>
                </c:pt>
                <c:pt idx="6">
                  <c:v>0.74189145552185454</c:v>
                </c:pt>
                <c:pt idx="7">
                  <c:v>0.74322729938701038</c:v>
                </c:pt>
                <c:pt idx="8">
                  <c:v>0.74456314325216677</c:v>
                </c:pt>
                <c:pt idx="9">
                  <c:v>0.74589898711732272</c:v>
                </c:pt>
                <c:pt idx="10">
                  <c:v>0.74723483098247911</c:v>
                </c:pt>
                <c:pt idx="11">
                  <c:v>0.74857067484763518</c:v>
                </c:pt>
                <c:pt idx="12">
                  <c:v>0.74990651871279124</c:v>
                </c:pt>
                <c:pt idx="13">
                  <c:v>0.75124236257794741</c:v>
                </c:pt>
                <c:pt idx="14">
                  <c:v>0.75257820644310391</c:v>
                </c:pt>
                <c:pt idx="15">
                  <c:v>0.75391405030826009</c:v>
                </c:pt>
                <c:pt idx="16">
                  <c:v>0.75524989417341648</c:v>
                </c:pt>
                <c:pt idx="17">
                  <c:v>0.75658573803857265</c:v>
                </c:pt>
                <c:pt idx="18">
                  <c:v>0.75792158190372838</c:v>
                </c:pt>
                <c:pt idx="19">
                  <c:v>0.75925742576888477</c:v>
                </c:pt>
                <c:pt idx="20">
                  <c:v>0.76059326963404084</c:v>
                </c:pt>
                <c:pt idx="21">
                  <c:v>0.76059326963404084</c:v>
                </c:pt>
              </c:numCache>
            </c:numRef>
          </c:yVal>
          <c:smooth val="0"/>
          <c:extLst>
            <c:ext xmlns:c16="http://schemas.microsoft.com/office/drawing/2014/chart" uri="{C3380CC4-5D6E-409C-BE32-E72D297353CC}">
              <c16:uniqueId val="{00000002-9CCC-413E-AEAE-D8B5AE3592F2}"/>
            </c:ext>
          </c:extLst>
        </c:ser>
        <c:dLbls>
          <c:showLegendKey val="0"/>
          <c:showVal val="0"/>
          <c:showCatName val="0"/>
          <c:showSerName val="0"/>
          <c:showPercent val="0"/>
          <c:showBubbleSize val="0"/>
        </c:dLbls>
        <c:axId val="140291248"/>
        <c:axId val="140297008"/>
        <c:extLst/>
      </c:scatterChart>
      <c:valAx>
        <c:axId val="140291248"/>
        <c:scaling>
          <c:orientation val="minMax"/>
          <c:max val="100"/>
          <c:min val="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500" b="1" i="0" u="none" strike="noStrike" kern="1200" baseline="0">
                    <a:solidFill>
                      <a:schemeClr val="tx1"/>
                    </a:solidFill>
                    <a:latin typeface="+mn-lt"/>
                    <a:ea typeface="+mn-ea"/>
                    <a:cs typeface="+mn-cs"/>
                  </a:defRPr>
                </a:pPr>
                <a:r>
                  <a:rPr lang="en-US" sz="1500" b="1" i="0" u="none" strike="noStrike" kern="1200" baseline="0">
                    <a:solidFill>
                      <a:schemeClr val="tx1"/>
                    </a:solidFill>
                  </a:rPr>
                  <a:t>Electricity Price, $/MWh</a:t>
                </a:r>
              </a:p>
            </c:rich>
          </c:tx>
          <c:layout>
            <c:manualLayout>
              <c:xMode val="edge"/>
              <c:yMode val="edge"/>
              <c:x val="0.66199145330848974"/>
              <c:y val="0.67932103457323112"/>
            </c:manualLayout>
          </c:layout>
          <c:overlay val="0"/>
          <c:spPr>
            <a:noFill/>
            <a:ln>
              <a:noFill/>
            </a:ln>
            <a:effectLst/>
          </c:spPr>
          <c:txPr>
            <a:bodyPr rot="0" spcFirstLastPara="1" vertOverflow="ellipsis" vert="horz" wrap="square" anchor="ctr" anchorCtr="1"/>
            <a:lstStyle/>
            <a:p>
              <a:pPr>
                <a:defRPr sz="1500" b="1" i="0" u="none" strike="noStrike" kern="1200" baseline="0">
                  <a:solidFill>
                    <a:schemeClr val="tx1"/>
                  </a:solidFill>
                  <a:latin typeface="+mn-lt"/>
                  <a:ea typeface="+mn-ea"/>
                  <a:cs typeface="+mn-cs"/>
                </a:defRPr>
              </a:pPr>
              <a:endParaRPr lang="en-US"/>
            </a:p>
          </c:txPr>
        </c:title>
        <c:numFmt formatCode="&quot;$&quot;#,##0" sourceLinked="0"/>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140297008"/>
        <c:crosses val="autoZero"/>
        <c:crossBetween val="midCat"/>
      </c:valAx>
      <c:valAx>
        <c:axId val="140297008"/>
        <c:scaling>
          <c:orientation val="minMax"/>
          <c:max val="6"/>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500" b="1" i="0" u="none" strike="noStrike" kern="1200" baseline="0">
                    <a:solidFill>
                      <a:schemeClr val="tx1"/>
                    </a:solidFill>
                    <a:latin typeface="+mn-lt"/>
                    <a:ea typeface="+mn-ea"/>
                    <a:cs typeface="+mn-cs"/>
                  </a:defRPr>
                </a:pPr>
                <a:r>
                  <a:rPr lang="en-US" sz="1500" b="1">
                    <a:solidFill>
                      <a:schemeClr val="tx1"/>
                    </a:solidFill>
                  </a:rPr>
                  <a:t>Levelized Cost of Hydrogen, $/kg</a:t>
                </a:r>
              </a:p>
            </c:rich>
          </c:tx>
          <c:overlay val="0"/>
          <c:spPr>
            <a:noFill/>
            <a:ln>
              <a:noFill/>
            </a:ln>
            <a:effectLst/>
          </c:spPr>
          <c:txPr>
            <a:bodyPr rot="-5400000" spcFirstLastPara="1" vertOverflow="ellipsis" vert="horz" wrap="square" anchor="ctr" anchorCtr="1"/>
            <a:lstStyle/>
            <a:p>
              <a:pPr>
                <a:defRPr sz="1500" b="1" i="0" u="none" strike="noStrike" kern="1200" baseline="0">
                  <a:solidFill>
                    <a:schemeClr val="tx1"/>
                  </a:solidFill>
                  <a:latin typeface="+mn-lt"/>
                  <a:ea typeface="+mn-ea"/>
                  <a:cs typeface="+mn-cs"/>
                </a:defRPr>
              </a:pPr>
              <a:endParaRPr lang="en-US"/>
            </a:p>
          </c:txPr>
        </c:title>
        <c:numFmt formatCode="&quot;$&quot;#,##0.00" sourceLinked="0"/>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140291248"/>
        <c:crosses val="autoZero"/>
        <c:crossBetween val="midCat"/>
      </c:valAx>
      <c:spPr>
        <a:noFill/>
        <a:ln>
          <a:noFill/>
        </a:ln>
        <a:effectLst/>
      </c:spPr>
    </c:plotArea>
    <c:legend>
      <c:legendPos val="b"/>
      <c:layout>
        <c:manualLayout>
          <c:xMode val="edge"/>
          <c:yMode val="edge"/>
          <c:x val="3.9406343575080577E-2"/>
          <c:y val="0.69039419766974419"/>
          <c:w val="0.86863527257018069"/>
          <c:h val="0.30960580233025581"/>
        </c:manualLayout>
      </c:layout>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28575" cap="flat" cmpd="sng" algn="ctr">
      <a:solidFill>
        <a:schemeClr val="tx1"/>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Correlations!$A$109</c:f>
          <c:strCache>
            <c:ptCount val="1"/>
            <c:pt idx="0">
              <c:v>(a) HTSE: Competitiveness with Respect to NG Price</c:v>
            </c:pt>
          </c:strCache>
        </c:strRef>
      </c:tx>
      <c:layout>
        <c:manualLayout>
          <c:xMode val="edge"/>
          <c:yMode val="edge"/>
          <c:x val="0.29315458132358296"/>
          <c:y val="7.1959755030621166E-3"/>
        </c:manualLayout>
      </c:layout>
      <c:overlay val="0"/>
      <c:spPr>
        <a:noFill/>
        <a:ln>
          <a:noFill/>
        </a:ln>
        <a:effectLst/>
      </c:spPr>
      <c:txPr>
        <a:bodyPr rot="0" spcFirstLastPara="1" vertOverflow="ellipsis" vert="horz" wrap="square" anchor="ctr" anchorCtr="1"/>
        <a:lstStyle/>
        <a:p>
          <a:pPr>
            <a:defRPr sz="1500" b="1" i="0" u="none" strike="noStrike" kern="1200" spc="0" baseline="0">
              <a:solidFill>
                <a:schemeClr val="tx1"/>
              </a:solidFill>
              <a:latin typeface="+mn-lt"/>
              <a:ea typeface="+mn-ea"/>
              <a:cs typeface="+mn-cs"/>
            </a:defRPr>
          </a:pPr>
          <a:endParaRPr lang="en-US"/>
        </a:p>
      </c:txPr>
    </c:title>
    <c:autoTitleDeleted val="0"/>
    <c:plotArea>
      <c:layout>
        <c:manualLayout>
          <c:layoutTarget val="inner"/>
          <c:xMode val="edge"/>
          <c:yMode val="edge"/>
          <c:x val="0.13861730703050024"/>
          <c:y val="7.7976540740650691E-2"/>
          <c:w val="0.79771759260621"/>
          <c:h val="0.52393812021996078"/>
        </c:manualLayout>
      </c:layout>
      <c:scatterChart>
        <c:scatterStyle val="lineMarker"/>
        <c:varyColors val="0"/>
        <c:ser>
          <c:idx val="1"/>
          <c:order val="0"/>
          <c:tx>
            <c:strRef>
              <c:f>Correlations!$C$114</c:f>
              <c:strCache>
                <c:ptCount val="1"/>
                <c:pt idx="0">
                  <c:v>NPP-HTSE, PTC=$0/kg</c:v>
                </c:pt>
              </c:strCache>
            </c:strRef>
          </c:tx>
          <c:spPr>
            <a:ln w="63500" cap="rnd" cmpd="dbl">
              <a:solidFill>
                <a:srgbClr val="0070C0"/>
              </a:solidFill>
              <a:prstDash val="solid"/>
              <a:round/>
            </a:ln>
            <a:effectLst/>
          </c:spPr>
          <c:marker>
            <c:symbol val="none"/>
          </c:marker>
          <c:xVal>
            <c:numRef>
              <c:f>Correlations!$E$109:$Z$109</c:f>
              <c:numCache>
                <c:formatCode>"$"#,##0.00</c:formatCode>
                <c:ptCount val="22"/>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20</c:v>
                </c:pt>
              </c:numCache>
            </c:numRef>
          </c:xVal>
          <c:yVal>
            <c:numRef>
              <c:f>Correlations!$E$114:$Z$114</c:f>
              <c:numCache>
                <c:formatCode>"$"#,##0.00</c:formatCode>
                <c:ptCount val="22"/>
                <c:pt idx="0">
                  <c:v>2.4591422205680424</c:v>
                </c:pt>
                <c:pt idx="1">
                  <c:v>2.4591422205680433</c:v>
                </c:pt>
                <c:pt idx="2">
                  <c:v>2.4591422205680433</c:v>
                </c:pt>
                <c:pt idx="3">
                  <c:v>2.4591422205680433</c:v>
                </c:pt>
                <c:pt idx="4">
                  <c:v>2.4591422205680433</c:v>
                </c:pt>
                <c:pt idx="5">
                  <c:v>2.4591422205680433</c:v>
                </c:pt>
                <c:pt idx="6">
                  <c:v>2.4591422205680433</c:v>
                </c:pt>
                <c:pt idx="7">
                  <c:v>2.4591422205680433</c:v>
                </c:pt>
                <c:pt idx="8">
                  <c:v>2.4591422205680433</c:v>
                </c:pt>
                <c:pt idx="9">
                  <c:v>2.4591422205680433</c:v>
                </c:pt>
                <c:pt idx="10">
                  <c:v>2.4591422205680433</c:v>
                </c:pt>
                <c:pt idx="11">
                  <c:v>2.4591422205680433</c:v>
                </c:pt>
                <c:pt idx="12">
                  <c:v>2.4591422205680433</c:v>
                </c:pt>
                <c:pt idx="13">
                  <c:v>2.4591422205680433</c:v>
                </c:pt>
                <c:pt idx="14">
                  <c:v>2.4591422205680433</c:v>
                </c:pt>
                <c:pt idx="15">
                  <c:v>2.4591422205680433</c:v>
                </c:pt>
                <c:pt idx="16">
                  <c:v>2.4591422205680433</c:v>
                </c:pt>
                <c:pt idx="17">
                  <c:v>2.4591422205680433</c:v>
                </c:pt>
                <c:pt idx="18">
                  <c:v>2.4591422205680433</c:v>
                </c:pt>
                <c:pt idx="19">
                  <c:v>2.4591422205680433</c:v>
                </c:pt>
                <c:pt idx="20">
                  <c:v>2.4591422205680433</c:v>
                </c:pt>
                <c:pt idx="21">
                  <c:v>2.4591422205680424</c:v>
                </c:pt>
              </c:numCache>
            </c:numRef>
          </c:yVal>
          <c:smooth val="0"/>
          <c:extLst>
            <c:ext xmlns:c16="http://schemas.microsoft.com/office/drawing/2014/chart" uri="{C3380CC4-5D6E-409C-BE32-E72D297353CC}">
              <c16:uniqueId val="{00000002-A58F-4AB3-B95C-536C4CBDAC4B}"/>
            </c:ext>
          </c:extLst>
        </c:ser>
        <c:ser>
          <c:idx val="2"/>
          <c:order val="1"/>
          <c:tx>
            <c:strRef>
              <c:f>Correlations!$C$115</c:f>
              <c:strCache>
                <c:ptCount val="1"/>
                <c:pt idx="0">
                  <c:v>NPP-HTSE, PTC=$3/kg</c:v>
                </c:pt>
              </c:strCache>
            </c:strRef>
          </c:tx>
          <c:spPr>
            <a:ln w="38100" cap="rnd" cmpd="dbl">
              <a:solidFill>
                <a:srgbClr val="0070C0"/>
              </a:solidFill>
              <a:prstDash val="dash"/>
              <a:round/>
            </a:ln>
            <a:effectLst/>
          </c:spPr>
          <c:marker>
            <c:symbol val="none"/>
          </c:marker>
          <c:xVal>
            <c:numRef>
              <c:f>Correlations!$E$109:$Z$109</c:f>
              <c:numCache>
                <c:formatCode>"$"#,##0.00</c:formatCode>
                <c:ptCount val="22"/>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20</c:v>
                </c:pt>
              </c:numCache>
            </c:numRef>
          </c:xVal>
          <c:yVal>
            <c:numRef>
              <c:f>Correlations!$E$115:$Z$115</c:f>
              <c:numCache>
                <c:formatCode>"$"#,##0.00</c:formatCode>
                <c:ptCount val="22"/>
                <c:pt idx="0">
                  <c:v>0.57195600278901593</c:v>
                </c:pt>
                <c:pt idx="1">
                  <c:v>0.57195600278901604</c:v>
                </c:pt>
                <c:pt idx="2">
                  <c:v>0.57195600278901604</c:v>
                </c:pt>
                <c:pt idx="3">
                  <c:v>0.57195600278901604</c:v>
                </c:pt>
                <c:pt idx="4">
                  <c:v>0.57195600278901604</c:v>
                </c:pt>
                <c:pt idx="5">
                  <c:v>0.57195600278901604</c:v>
                </c:pt>
                <c:pt idx="6">
                  <c:v>0.57195600278901604</c:v>
                </c:pt>
                <c:pt idx="7">
                  <c:v>0.57195600278901604</c:v>
                </c:pt>
                <c:pt idx="8">
                  <c:v>0.57195600278901604</c:v>
                </c:pt>
                <c:pt idx="9">
                  <c:v>0.57195600278901604</c:v>
                </c:pt>
                <c:pt idx="10">
                  <c:v>0.57195600278901604</c:v>
                </c:pt>
                <c:pt idx="11">
                  <c:v>0.57195600278901604</c:v>
                </c:pt>
                <c:pt idx="12">
                  <c:v>0.57195600278901604</c:v>
                </c:pt>
                <c:pt idx="13">
                  <c:v>0.57195600278901604</c:v>
                </c:pt>
                <c:pt idx="14">
                  <c:v>0.57195600278901604</c:v>
                </c:pt>
                <c:pt idx="15">
                  <c:v>0.57195600278901604</c:v>
                </c:pt>
                <c:pt idx="16">
                  <c:v>0.57195600278901604</c:v>
                </c:pt>
                <c:pt idx="17">
                  <c:v>0.57195600278901604</c:v>
                </c:pt>
                <c:pt idx="18">
                  <c:v>0.57195600278901604</c:v>
                </c:pt>
                <c:pt idx="19">
                  <c:v>0.57195600278901604</c:v>
                </c:pt>
                <c:pt idx="20">
                  <c:v>0.57195600278901604</c:v>
                </c:pt>
                <c:pt idx="21">
                  <c:v>0.57195600278901593</c:v>
                </c:pt>
              </c:numCache>
            </c:numRef>
          </c:yVal>
          <c:smooth val="0"/>
          <c:extLst>
            <c:ext xmlns:c16="http://schemas.microsoft.com/office/drawing/2014/chart" uri="{C3380CC4-5D6E-409C-BE32-E72D297353CC}">
              <c16:uniqueId val="{00000003-A58F-4AB3-B95C-536C4CBDAC4B}"/>
            </c:ext>
          </c:extLst>
        </c:ser>
        <c:ser>
          <c:idx val="3"/>
          <c:order val="2"/>
          <c:tx>
            <c:strRef>
              <c:f>Correlations!$C$113</c:f>
              <c:strCache>
                <c:ptCount val="1"/>
                <c:pt idx="0">
                  <c:v>Hydrogen Market Price: User-defined (uncorrelated with NG and elec price)</c:v>
                </c:pt>
              </c:strCache>
            </c:strRef>
          </c:tx>
          <c:spPr>
            <a:ln w="25400" cap="rnd" cmpd="sng" algn="ctr">
              <a:solidFill>
                <a:srgbClr val="FF0000"/>
              </a:solidFill>
              <a:prstDash val="solid"/>
              <a:round/>
              <a:headEnd type="none" w="med" len="med"/>
              <a:tailEnd type="none" w="med" len="med"/>
            </a:ln>
            <a:effectLst/>
          </c:spPr>
          <c:marker>
            <c:symbol val="none"/>
          </c:marker>
          <c:xVal>
            <c:numRef>
              <c:f>Correlations!$E$109:$Z$109</c:f>
              <c:numCache>
                <c:formatCode>"$"#,##0.00</c:formatCode>
                <c:ptCount val="22"/>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20</c:v>
                </c:pt>
              </c:numCache>
            </c:numRef>
          </c:xVal>
          <c:yVal>
            <c:numRef>
              <c:f>Correlations!$E$113:$Z$113</c:f>
              <c:numCache>
                <c:formatCode>"$"#,##0.00</c:formatCode>
                <c:ptCount val="22"/>
                <c:pt idx="0" formatCode="General">
                  <c:v>2.5</c:v>
                </c:pt>
                <c:pt idx="1">
                  <c:v>2.5</c:v>
                </c:pt>
                <c:pt idx="2">
                  <c:v>2.5</c:v>
                </c:pt>
                <c:pt idx="3">
                  <c:v>2.5</c:v>
                </c:pt>
                <c:pt idx="4">
                  <c:v>2.5</c:v>
                </c:pt>
                <c:pt idx="5">
                  <c:v>2.5</c:v>
                </c:pt>
                <c:pt idx="6">
                  <c:v>2.5</c:v>
                </c:pt>
                <c:pt idx="7">
                  <c:v>2.5</c:v>
                </c:pt>
                <c:pt idx="8">
                  <c:v>2.5</c:v>
                </c:pt>
                <c:pt idx="9">
                  <c:v>2.5</c:v>
                </c:pt>
                <c:pt idx="10">
                  <c:v>2.5</c:v>
                </c:pt>
                <c:pt idx="11">
                  <c:v>2.5</c:v>
                </c:pt>
                <c:pt idx="12">
                  <c:v>2.5</c:v>
                </c:pt>
                <c:pt idx="13">
                  <c:v>2.5</c:v>
                </c:pt>
                <c:pt idx="14">
                  <c:v>2.5</c:v>
                </c:pt>
                <c:pt idx="15">
                  <c:v>2.5</c:v>
                </c:pt>
                <c:pt idx="16">
                  <c:v>2.5</c:v>
                </c:pt>
                <c:pt idx="17">
                  <c:v>2.5</c:v>
                </c:pt>
                <c:pt idx="18">
                  <c:v>2.5</c:v>
                </c:pt>
                <c:pt idx="19">
                  <c:v>2.5</c:v>
                </c:pt>
                <c:pt idx="20">
                  <c:v>2.5</c:v>
                </c:pt>
                <c:pt idx="21">
                  <c:v>2.5</c:v>
                </c:pt>
              </c:numCache>
            </c:numRef>
          </c:yVal>
          <c:smooth val="0"/>
          <c:extLst>
            <c:ext xmlns:c16="http://schemas.microsoft.com/office/drawing/2014/chart" uri="{C3380CC4-5D6E-409C-BE32-E72D297353CC}">
              <c16:uniqueId val="{00000004-A58F-4AB3-B95C-536C4CBDAC4B}"/>
            </c:ext>
          </c:extLst>
        </c:ser>
        <c:ser>
          <c:idx val="0"/>
          <c:order val="3"/>
          <c:tx>
            <c:strRef>
              <c:f>Correlations!$A$118</c:f>
              <c:strCache>
                <c:ptCount val="1"/>
                <c:pt idx="0">
                  <c:v>Intersection Points</c:v>
                </c:pt>
              </c:strCache>
            </c:strRef>
          </c:tx>
          <c:spPr>
            <a:ln w="25400" cap="rnd">
              <a:noFill/>
              <a:round/>
            </a:ln>
            <a:effectLst/>
          </c:spPr>
          <c:marker>
            <c:symbol val="star"/>
            <c:size val="7"/>
            <c:spPr>
              <a:noFill/>
              <a:ln w="63500">
                <a:solidFill>
                  <a:srgbClr val="7030A0"/>
                </a:solidFill>
              </a:ln>
              <a:effectLst/>
              <a:extLst>
                <a:ext uri="{909E8E84-426E-40DD-AFC4-6F175D3DCCD1}">
                  <a14:hiddenFill xmlns:a14="http://schemas.microsoft.com/office/drawing/2010/main">
                    <a:solidFill>
                      <a:srgbClr val="4472C4"/>
                    </a:solidFill>
                  </a14:hiddenFill>
                </a:ext>
              </a:extLst>
            </c:spPr>
          </c:marker>
          <c:dPt>
            <c:idx val="1"/>
            <c:marker>
              <c:symbol val="star"/>
              <c:size val="7"/>
              <c:spPr>
                <a:noFill/>
                <a:ln w="63500">
                  <a:solidFill>
                    <a:srgbClr val="7030A0"/>
                  </a:solidFill>
                </a:ln>
                <a:effectLst/>
                <a:extLst>
                  <a:ext uri="{909E8E84-426E-40DD-AFC4-6F175D3DCCD1}">
                    <a14:hiddenFill xmlns:a14="http://schemas.microsoft.com/office/drawing/2010/main">
                      <a:noFill/>
                    </a14:hiddenFill>
                  </a:ext>
                </a:extLst>
              </c:spPr>
            </c:marker>
            <c:bubble3D val="0"/>
            <c:extLst>
              <c:ext xmlns:c16="http://schemas.microsoft.com/office/drawing/2014/chart" uri="{C3380CC4-5D6E-409C-BE32-E72D297353CC}">
                <c16:uniqueId val="{00000000-8A37-436E-AC20-A00EA399A27C}"/>
              </c:ext>
            </c:extLst>
          </c:dPt>
          <c:dPt>
            <c:idx val="3"/>
            <c:marker>
              <c:symbol val="star"/>
              <c:size val="7"/>
              <c:spPr>
                <a:noFill/>
                <a:ln w="63500">
                  <a:solidFill>
                    <a:srgbClr val="7030A0"/>
                  </a:solidFill>
                </a:ln>
                <a:effectLst/>
                <a:extLst>
                  <a:ext uri="{909E8E84-426E-40DD-AFC4-6F175D3DCCD1}">
                    <a14:hiddenFill xmlns:a14="http://schemas.microsoft.com/office/drawing/2010/main">
                      <a:noFill/>
                    </a14:hiddenFill>
                  </a:ext>
                </a:extLst>
              </c:spPr>
            </c:marker>
            <c:bubble3D val="0"/>
            <c:extLst>
              <c:ext xmlns:c16="http://schemas.microsoft.com/office/drawing/2014/chart" uri="{C3380CC4-5D6E-409C-BE32-E72D297353CC}">
                <c16:uniqueId val="{00000001-8A37-436E-AC20-A00EA399A27C}"/>
              </c:ext>
            </c:extLst>
          </c:dPt>
          <c:dLbls>
            <c:dLbl>
              <c:idx val="1"/>
              <c:layout>
                <c:manualLayout>
                  <c:x val="2.7236522389350735E-2"/>
                  <c:y val="4.031484945101968E-2"/>
                </c:manualLayout>
              </c:layout>
              <c:showLegendKey val="0"/>
              <c:showVal val="1"/>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0-8A37-436E-AC20-A00EA399A27C}"/>
                </c:ext>
              </c:extLst>
            </c:dLbl>
            <c:dLbl>
              <c:idx val="2"/>
              <c:layout>
                <c:manualLayout>
                  <c:x val="-8.715687164592241E-2"/>
                  <c:y val="-9.9443295312515237E-2"/>
                </c:manualLayout>
              </c:layout>
              <c:showLegendKey val="0"/>
              <c:showVal val="1"/>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2-D39C-4730-9FAA-6CD03749955C}"/>
                </c:ext>
              </c:extLst>
            </c:dLbl>
            <c:dLbl>
              <c:idx val="3"/>
              <c:layout>
                <c:manualLayout>
                  <c:x val="9.0788407964502455E-3"/>
                  <c:y val="6.7191415751699471E-2"/>
                </c:manualLayout>
              </c:layout>
              <c:showLegendKey val="0"/>
              <c:showVal val="1"/>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1-8A37-436E-AC20-A00EA399A27C}"/>
                </c:ext>
              </c:extLst>
            </c:dLbl>
            <c:spPr>
              <a:solidFill>
                <a:sysClr val="window" lastClr="FFFFFF">
                  <a:lumMod val="100000"/>
                </a:sysClr>
              </a:solidFill>
              <a:ln w="9525" cap="flat" cmpd="sng" algn="ctr">
                <a:solidFill>
                  <a:sysClr val="windowText" lastClr="000000">
                    <a:lumMod val="100000"/>
                  </a:sysClr>
                </a:solidFill>
                <a:prstDash val="solid"/>
                <a:round/>
                <a:headEnd type="none" w="med" len="med"/>
                <a:tailEnd type="none" w="med" len="med"/>
              </a:ln>
              <a:effectLst/>
            </c:spPr>
            <c:txPr>
              <a:bodyPr rot="0" spcFirstLastPara="1" vertOverflow="ellipsis" vert="horz" wrap="square" lIns="38100" tIns="19050" rIns="38100" bIns="19050" anchor="ctr" anchorCtr="1">
                <a:spAutoFit/>
              </a:bodyPr>
              <a:lstStyle/>
              <a:p>
                <a:pPr>
                  <a:defRPr sz="14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1"/>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Correlations!$K$120:$K$123</c:f>
              <c:numCache>
                <c:formatCode>"$"#,##0.00</c:formatCode>
                <c:ptCount val="4"/>
                <c:pt idx="0">
                  <c:v>-1.948652561238954</c:v>
                </c:pt>
                <c:pt idx="1">
                  <c:v>1.9630326017594777</c:v>
                </c:pt>
                <c:pt idx="2">
                  <c:v>9.096359533197063</c:v>
                </c:pt>
                <c:pt idx="3">
                  <c:v>13.709727754435258</c:v>
                </c:pt>
              </c:numCache>
            </c:numRef>
          </c:xVal>
          <c:yVal>
            <c:numRef>
              <c:f>Correlations!$J$120:$J$123</c:f>
              <c:numCache>
                <c:formatCode>"$"#,##0.00</c:formatCode>
                <c:ptCount val="4"/>
                <c:pt idx="0">
                  <c:v>0.57195600278901593</c:v>
                </c:pt>
                <c:pt idx="1">
                  <c:v>0.57195600278901593</c:v>
                </c:pt>
                <c:pt idx="2">
                  <c:v>2.4591422205680424</c:v>
                </c:pt>
                <c:pt idx="3">
                  <c:v>2.4591422205680424</c:v>
                </c:pt>
              </c:numCache>
            </c:numRef>
          </c:yVal>
          <c:smooth val="0"/>
          <c:extLst xmlns:c15="http://schemas.microsoft.com/office/drawing/2012/chart">
            <c:ext xmlns:c16="http://schemas.microsoft.com/office/drawing/2014/chart" uri="{C3380CC4-5D6E-409C-BE32-E72D297353CC}">
              <c16:uniqueId val="{00000000-D4E4-452B-B25B-22B9CAAD0022}"/>
            </c:ext>
          </c:extLst>
        </c:ser>
        <c:ser>
          <c:idx val="4"/>
          <c:order val="4"/>
          <c:tx>
            <c:strRef>
              <c:f>Correlations!$C$111</c:f>
              <c:strCache>
                <c:ptCount val="1"/>
                <c:pt idx="0">
                  <c:v>LCOH: SMR with CCS (correlated with NG price)</c:v>
                </c:pt>
              </c:strCache>
            </c:strRef>
          </c:tx>
          <c:spPr>
            <a:ln w="38100" cap="rnd" cmpd="sng" algn="ctr">
              <a:solidFill>
                <a:srgbClr val="63BE7B"/>
              </a:solidFill>
              <a:prstDash val="sysDash"/>
              <a:round/>
              <a:headEnd type="none" w="med" len="med"/>
              <a:tailEnd type="none" w="med" len="med"/>
            </a:ln>
            <a:effectLst/>
          </c:spPr>
          <c:marker>
            <c:symbol val="none"/>
          </c:marker>
          <c:xVal>
            <c:numRef>
              <c:f>Correlations!$E$109:$Z$109</c:f>
              <c:numCache>
                <c:formatCode>"$"#,##0.00</c:formatCode>
                <c:ptCount val="22"/>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20</c:v>
                </c:pt>
              </c:numCache>
            </c:numRef>
          </c:xVal>
          <c:yVal>
            <c:numRef>
              <c:f>Correlations!$E$111:$Z$111</c:f>
              <c:numCache>
                <c:formatCode>"$"#,##0.00</c:formatCode>
                <c:ptCount val="22"/>
                <c:pt idx="0">
                  <c:v>0.9049090340186059</c:v>
                </c:pt>
                <c:pt idx="1">
                  <c:v>1.0757722437320389</c:v>
                </c:pt>
                <c:pt idx="2">
                  <c:v>1.246635453445472</c:v>
                </c:pt>
                <c:pt idx="3">
                  <c:v>1.4174986631589055</c:v>
                </c:pt>
                <c:pt idx="4">
                  <c:v>1.5883618728723379</c:v>
                </c:pt>
                <c:pt idx="5">
                  <c:v>1.7592250825857709</c:v>
                </c:pt>
                <c:pt idx="6">
                  <c:v>1.9300882922992038</c:v>
                </c:pt>
                <c:pt idx="7">
                  <c:v>2.100951502012637</c:v>
                </c:pt>
                <c:pt idx="8">
                  <c:v>2.2718147117260714</c:v>
                </c:pt>
                <c:pt idx="9">
                  <c:v>2.4426779214395036</c:v>
                </c:pt>
                <c:pt idx="10">
                  <c:v>2.6135411311529362</c:v>
                </c:pt>
                <c:pt idx="11">
                  <c:v>2.7844043408663692</c:v>
                </c:pt>
                <c:pt idx="12">
                  <c:v>2.9552675505798023</c:v>
                </c:pt>
                <c:pt idx="13">
                  <c:v>3.1261307602932362</c:v>
                </c:pt>
                <c:pt idx="14">
                  <c:v>3.2969939700066702</c:v>
                </c:pt>
                <c:pt idx="15">
                  <c:v>3.4678571797200992</c:v>
                </c:pt>
                <c:pt idx="16">
                  <c:v>3.6387203894335354</c:v>
                </c:pt>
                <c:pt idx="17">
                  <c:v>3.8095835991469666</c:v>
                </c:pt>
                <c:pt idx="18">
                  <c:v>3.9804468088603997</c:v>
                </c:pt>
                <c:pt idx="19">
                  <c:v>4.1513100185738319</c:v>
                </c:pt>
                <c:pt idx="20">
                  <c:v>4.3221732282872667</c:v>
                </c:pt>
                <c:pt idx="21">
                  <c:v>4.3221732282872667</c:v>
                </c:pt>
              </c:numCache>
            </c:numRef>
          </c:yVal>
          <c:smooth val="0"/>
          <c:extLst>
            <c:ext xmlns:c16="http://schemas.microsoft.com/office/drawing/2014/chart" uri="{C3380CC4-5D6E-409C-BE32-E72D297353CC}">
              <c16:uniqueId val="{00000000-14F0-4897-9F31-6BD709A56266}"/>
            </c:ext>
          </c:extLst>
        </c:ser>
        <c:ser>
          <c:idx val="5"/>
          <c:order val="5"/>
          <c:tx>
            <c:strRef>
              <c:f>Correlations!$C$112</c:f>
              <c:strCache>
                <c:ptCount val="1"/>
                <c:pt idx="0">
                  <c:v>LCOH: SMR without CCS (Correlated with NG price)</c:v>
                </c:pt>
              </c:strCache>
            </c:strRef>
          </c:tx>
          <c:spPr>
            <a:ln w="38100" cap="rnd" cmpd="sng" algn="ctr">
              <a:solidFill>
                <a:srgbClr val="63BE7B"/>
              </a:solidFill>
              <a:prstDash val="sysDot"/>
              <a:round/>
              <a:headEnd type="none" w="med" len="med"/>
              <a:tailEnd type="none" w="med" len="med"/>
            </a:ln>
            <a:effectLst/>
          </c:spPr>
          <c:marker>
            <c:symbol val="none"/>
          </c:marker>
          <c:xVal>
            <c:numRef>
              <c:f>Correlations!$E$109:$Z$109</c:f>
              <c:numCache>
                <c:formatCode>"$"#,##0.00</c:formatCode>
                <c:ptCount val="22"/>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20</c:v>
                </c:pt>
              </c:numCache>
            </c:numRef>
          </c:xVal>
          <c:yVal>
            <c:numRef>
              <c:f>Correlations!$E$112:$Z$112</c:f>
              <c:numCache>
                <c:formatCode>"$"#,##0.00</c:formatCode>
                <c:ptCount val="22"/>
                <c:pt idx="0">
                  <c:v>0.25658150613771613</c:v>
                </c:pt>
                <c:pt idx="1">
                  <c:v>0.41723828604479879</c:v>
                </c:pt>
                <c:pt idx="2">
                  <c:v>0.57789506595188123</c:v>
                </c:pt>
                <c:pt idx="3">
                  <c:v>0.73855184585896372</c:v>
                </c:pt>
                <c:pt idx="4">
                  <c:v>0.89920862576604699</c:v>
                </c:pt>
                <c:pt idx="5">
                  <c:v>1.0598654056731294</c:v>
                </c:pt>
                <c:pt idx="6">
                  <c:v>1.2205221855802113</c:v>
                </c:pt>
                <c:pt idx="7">
                  <c:v>1.3811789654872935</c:v>
                </c:pt>
                <c:pt idx="8">
                  <c:v>1.5418357453943761</c:v>
                </c:pt>
                <c:pt idx="9">
                  <c:v>1.7024925253014582</c:v>
                </c:pt>
                <c:pt idx="10">
                  <c:v>1.8631493052085417</c:v>
                </c:pt>
                <c:pt idx="11">
                  <c:v>2.023806085115623</c:v>
                </c:pt>
                <c:pt idx="12">
                  <c:v>2.1844628650227076</c:v>
                </c:pt>
                <c:pt idx="13">
                  <c:v>2.34511964492979</c:v>
                </c:pt>
                <c:pt idx="14">
                  <c:v>2.5057764248368715</c:v>
                </c:pt>
                <c:pt idx="15">
                  <c:v>2.6664332047439547</c:v>
                </c:pt>
                <c:pt idx="16">
                  <c:v>2.8270899846510376</c:v>
                </c:pt>
                <c:pt idx="17">
                  <c:v>2.9877467645581191</c:v>
                </c:pt>
                <c:pt idx="18">
                  <c:v>3.1484035444652041</c:v>
                </c:pt>
                <c:pt idx="19">
                  <c:v>3.3090603243722834</c:v>
                </c:pt>
                <c:pt idx="20">
                  <c:v>3.469717104279368</c:v>
                </c:pt>
                <c:pt idx="21">
                  <c:v>3.469717104279368</c:v>
                </c:pt>
              </c:numCache>
            </c:numRef>
          </c:yVal>
          <c:smooth val="0"/>
          <c:extLst>
            <c:ext xmlns:c16="http://schemas.microsoft.com/office/drawing/2014/chart" uri="{C3380CC4-5D6E-409C-BE32-E72D297353CC}">
              <c16:uniqueId val="{00000001-14F0-4897-9F31-6BD709A56266}"/>
            </c:ext>
          </c:extLst>
        </c:ser>
        <c:dLbls>
          <c:showLegendKey val="0"/>
          <c:showVal val="0"/>
          <c:showCatName val="0"/>
          <c:showSerName val="0"/>
          <c:showPercent val="0"/>
          <c:showBubbleSize val="0"/>
        </c:dLbls>
        <c:axId val="140291248"/>
        <c:axId val="140297008"/>
        <c:extLst/>
      </c:scatterChart>
      <c:valAx>
        <c:axId val="140291248"/>
        <c:scaling>
          <c:orientation val="minMax"/>
          <c:max val="20"/>
          <c:min val="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500" b="1" i="0" u="none" strike="noStrike" kern="1200" baseline="0">
                    <a:solidFill>
                      <a:schemeClr val="tx1"/>
                    </a:solidFill>
                    <a:latin typeface="+mn-lt"/>
                    <a:ea typeface="+mn-ea"/>
                    <a:cs typeface="+mn-cs"/>
                  </a:defRPr>
                </a:pPr>
                <a:r>
                  <a:rPr lang="en-US" sz="1500" b="1" i="0" u="none" strike="noStrike" kern="1200" baseline="0">
                    <a:solidFill>
                      <a:schemeClr val="tx1"/>
                    </a:solidFill>
                  </a:rPr>
                  <a:t>NG Price, $/MMBtu</a:t>
                </a:r>
              </a:p>
            </c:rich>
          </c:tx>
          <c:layout>
            <c:manualLayout>
              <c:xMode val="edge"/>
              <c:yMode val="edge"/>
              <c:x val="0.71608406110533873"/>
              <c:y val="0.68091122107145119"/>
            </c:manualLayout>
          </c:layout>
          <c:overlay val="0"/>
          <c:spPr>
            <a:noFill/>
            <a:ln>
              <a:noFill/>
            </a:ln>
            <a:effectLst/>
          </c:spPr>
          <c:txPr>
            <a:bodyPr rot="0" spcFirstLastPara="1" vertOverflow="ellipsis" vert="horz" wrap="square" anchor="ctr" anchorCtr="1"/>
            <a:lstStyle/>
            <a:p>
              <a:pPr>
                <a:defRPr sz="1500" b="1" i="0" u="none" strike="noStrike" kern="1200" baseline="0">
                  <a:solidFill>
                    <a:schemeClr val="tx1"/>
                  </a:solidFill>
                  <a:latin typeface="+mn-lt"/>
                  <a:ea typeface="+mn-ea"/>
                  <a:cs typeface="+mn-cs"/>
                </a:defRPr>
              </a:pPr>
              <a:endParaRPr lang="en-US"/>
            </a:p>
          </c:txPr>
        </c:title>
        <c:numFmt formatCode="&quot;$&quot;#,##0" sourceLinked="0"/>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140297008"/>
        <c:crosses val="autoZero"/>
        <c:crossBetween val="midCat"/>
      </c:valAx>
      <c:valAx>
        <c:axId val="140297008"/>
        <c:scaling>
          <c:orientation val="minMax"/>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500" b="1" i="0" u="none" strike="noStrike" kern="1200" baseline="0">
                    <a:solidFill>
                      <a:schemeClr val="tx1"/>
                    </a:solidFill>
                    <a:latin typeface="+mn-lt"/>
                    <a:ea typeface="+mn-ea"/>
                    <a:cs typeface="+mn-cs"/>
                  </a:defRPr>
                </a:pPr>
                <a:r>
                  <a:rPr lang="en-US" sz="1500" b="1" i="0" u="none" strike="noStrike" kern="1200" baseline="0">
                    <a:solidFill>
                      <a:schemeClr val="tx1"/>
                    </a:solidFill>
                  </a:rPr>
                  <a:t>Levelized Cost of Hydrogen, $/kg</a:t>
                </a:r>
                <a:endParaRPr lang="en-US" sz="1500" b="1">
                  <a:solidFill>
                    <a:schemeClr val="tx1"/>
                  </a:solidFill>
                </a:endParaRPr>
              </a:p>
            </c:rich>
          </c:tx>
          <c:layout>
            <c:manualLayout>
              <c:xMode val="edge"/>
              <c:yMode val="edge"/>
              <c:x val="1.101372307792237E-2"/>
              <c:y val="7.1803732866724992E-2"/>
            </c:manualLayout>
          </c:layout>
          <c:overlay val="0"/>
          <c:spPr>
            <a:noFill/>
            <a:ln>
              <a:noFill/>
            </a:ln>
            <a:effectLst/>
          </c:spPr>
          <c:txPr>
            <a:bodyPr rot="-5400000" spcFirstLastPara="1" vertOverflow="ellipsis" vert="horz" wrap="square" anchor="ctr" anchorCtr="1"/>
            <a:lstStyle/>
            <a:p>
              <a:pPr>
                <a:defRPr sz="1500" b="1" i="0" u="none" strike="noStrike" kern="1200" baseline="0">
                  <a:solidFill>
                    <a:schemeClr val="tx1"/>
                  </a:solidFill>
                  <a:latin typeface="+mn-lt"/>
                  <a:ea typeface="+mn-ea"/>
                  <a:cs typeface="+mn-cs"/>
                </a:defRPr>
              </a:pPr>
              <a:endParaRPr lang="en-US"/>
            </a:p>
          </c:txPr>
        </c:title>
        <c:numFmt formatCode="&quot;$&quot;#,##0.00" sourceLinked="0"/>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140291248"/>
        <c:crosses val="autoZero"/>
        <c:crossBetween val="midCat"/>
      </c:valAx>
      <c:spPr>
        <a:noFill/>
        <a:ln>
          <a:noFill/>
        </a:ln>
        <a:effectLst/>
      </c:spPr>
    </c:plotArea>
    <c:legend>
      <c:legendPos val="b"/>
      <c:layout>
        <c:manualLayout>
          <c:xMode val="edge"/>
          <c:yMode val="edge"/>
          <c:x val="3.6996373230638827E-2"/>
          <c:y val="0.67800213305174706"/>
          <c:w val="0.82227451411916497"/>
          <c:h val="0.3219978870759479"/>
        </c:manualLayout>
      </c:layout>
      <c:overlay val="0"/>
      <c:spPr>
        <a:noFill/>
        <a:ln w="25400" cmpd="sng">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28575" cap="flat" cmpd="sng" algn="ctr">
      <a:solidFill>
        <a:schemeClr val="tx1"/>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2263834362580715"/>
          <c:y val="0.13607920009163768"/>
          <c:w val="0.71710735351492549"/>
          <c:h val="0.79232700614489837"/>
        </c:manualLayout>
      </c:layout>
      <c:barChart>
        <c:barDir val="col"/>
        <c:grouping val="clustered"/>
        <c:varyColors val="0"/>
        <c:ser>
          <c:idx val="1"/>
          <c:order val="0"/>
          <c:tx>
            <c:v> Yearly Cash Flow</c:v>
          </c:tx>
          <c:spPr>
            <a:solidFill>
              <a:srgbClr val="4472C4"/>
            </a:solidFill>
            <a:ln>
              <a:noFill/>
            </a:ln>
            <a:effectLst/>
          </c:spPr>
          <c:invertIfNegative val="1"/>
          <c:val>
            <c:numRef>
              <c:f>Proforma!$C$60:$W$60</c:f>
              <c:numCache>
                <c:formatCode>#,###.0,,\ "M"</c:formatCode>
                <c:ptCount val="21"/>
                <c:pt idx="0">
                  <c:v>-328660975.35710847</c:v>
                </c:pt>
                <c:pt idx="1">
                  <c:v>120136774.68460985</c:v>
                </c:pt>
                <c:pt idx="2">
                  <c:v>422636007.3250798</c:v>
                </c:pt>
                <c:pt idx="3">
                  <c:v>425483034.60176837</c:v>
                </c:pt>
                <c:pt idx="4">
                  <c:v>421838656.67586356</c:v>
                </c:pt>
                <c:pt idx="5">
                  <c:v>418365458.93993211</c:v>
                </c:pt>
                <c:pt idx="6">
                  <c:v>389846702.70194459</c:v>
                </c:pt>
                <c:pt idx="7">
                  <c:v>468069956.53778577</c:v>
                </c:pt>
                <c:pt idx="8">
                  <c:v>462961604.35105288</c:v>
                </c:pt>
                <c:pt idx="9">
                  <c:v>458676273.38591838</c:v>
                </c:pt>
                <c:pt idx="10">
                  <c:v>454848098.26278514</c:v>
                </c:pt>
                <c:pt idx="11">
                  <c:v>7116238.9800435081</c:v>
                </c:pt>
                <c:pt idx="12">
                  <c:v>77151136.940272242</c:v>
                </c:pt>
                <c:pt idx="13">
                  <c:v>71820138.110337451</c:v>
                </c:pt>
                <c:pt idx="14">
                  <c:v>67135282.519793212</c:v>
                </c:pt>
                <c:pt idx="15">
                  <c:v>63105007.07493192</c:v>
                </c:pt>
                <c:pt idx="16">
                  <c:v>22707530.179292396</c:v>
                </c:pt>
                <c:pt idx="17">
                  <c:v>84583841.081280053</c:v>
                </c:pt>
                <c:pt idx="18">
                  <c:v>78328741.427101582</c:v>
                </c:pt>
                <c:pt idx="19">
                  <c:v>73037296.388547584</c:v>
                </c:pt>
                <c:pt idx="20">
                  <c:v>143576812.98952466</c:v>
                </c:pt>
              </c:numCache>
            </c:numRef>
          </c:val>
          <c:extLst>
            <c:ext xmlns:c14="http://schemas.microsoft.com/office/drawing/2007/8/2/chart" uri="{6F2FDCE9-48DA-4B69-8628-5D25D57E5C99}">
              <c14:invertSolidFillFmt>
                <c14:spPr xmlns:c14="http://schemas.microsoft.com/office/drawing/2007/8/2/chart">
                  <a:solidFill>
                    <a:srgbClr val="FF0000"/>
                  </a:solidFill>
                  <a:ln>
                    <a:noFill/>
                  </a:ln>
                  <a:effectLst/>
                </c14:spPr>
              </c14:invertSolidFillFmt>
            </c:ext>
            <c:ext xmlns:c16="http://schemas.microsoft.com/office/drawing/2014/chart" uri="{C3380CC4-5D6E-409C-BE32-E72D297353CC}">
              <c16:uniqueId val="{00000000-E920-4A9E-B9D4-723A13A7F64D}"/>
            </c:ext>
          </c:extLst>
        </c:ser>
        <c:dLbls>
          <c:showLegendKey val="0"/>
          <c:showVal val="0"/>
          <c:showCatName val="0"/>
          <c:showSerName val="0"/>
          <c:showPercent val="0"/>
          <c:showBubbleSize val="0"/>
        </c:dLbls>
        <c:gapWidth val="219"/>
        <c:overlap val="-27"/>
        <c:axId val="1189180687"/>
        <c:axId val="1181841951"/>
      </c:barChart>
      <c:lineChart>
        <c:grouping val="standard"/>
        <c:varyColors val="0"/>
        <c:ser>
          <c:idx val="2"/>
          <c:order val="1"/>
          <c:tx>
            <c:v>Cumulative Cash Flow</c:v>
          </c:tx>
          <c:spPr>
            <a:ln w="28575" cap="rnd">
              <a:solidFill>
                <a:srgbClr val="92D050"/>
              </a:solidFill>
              <a:round/>
            </a:ln>
            <a:effectLst/>
          </c:spPr>
          <c:marker>
            <c:symbol val="circle"/>
            <c:size val="5"/>
            <c:spPr>
              <a:solidFill>
                <a:schemeClr val="accent6">
                  <a:lumMod val="50000"/>
                </a:schemeClr>
              </a:solidFill>
              <a:ln w="9525">
                <a:noFill/>
              </a:ln>
              <a:effectLst/>
            </c:spPr>
          </c:marker>
          <c:val>
            <c:numRef>
              <c:f>Proforma!$C$61:$W$61</c:f>
              <c:numCache>
                <c:formatCode>#,###.0,,\ "M"</c:formatCode>
                <c:ptCount val="21"/>
                <c:pt idx="0">
                  <c:v>-328660975.35710847</c:v>
                </c:pt>
                <c:pt idx="1">
                  <c:v>-208524200.67249864</c:v>
                </c:pt>
                <c:pt idx="2">
                  <c:v>214111806.65258116</c:v>
                </c:pt>
                <c:pt idx="3">
                  <c:v>639594841.25434947</c:v>
                </c:pt>
                <c:pt idx="4">
                  <c:v>1061433497.930213</c:v>
                </c:pt>
                <c:pt idx="5">
                  <c:v>1479798956.8701451</c:v>
                </c:pt>
                <c:pt idx="6">
                  <c:v>1869645659.5720897</c:v>
                </c:pt>
                <c:pt idx="7">
                  <c:v>2337715616.1098757</c:v>
                </c:pt>
                <c:pt idx="8">
                  <c:v>2800677220.4609284</c:v>
                </c:pt>
                <c:pt idx="9">
                  <c:v>3259353493.8468466</c:v>
                </c:pt>
                <c:pt idx="10">
                  <c:v>3714201592.1096315</c:v>
                </c:pt>
                <c:pt idx="11">
                  <c:v>3721317831.0896749</c:v>
                </c:pt>
                <c:pt idx="12">
                  <c:v>3798468968.0299473</c:v>
                </c:pt>
                <c:pt idx="13">
                  <c:v>3870289106.1402845</c:v>
                </c:pt>
                <c:pt idx="14">
                  <c:v>3937424388.6600776</c:v>
                </c:pt>
                <c:pt idx="15">
                  <c:v>4000529395.7350097</c:v>
                </c:pt>
                <c:pt idx="16">
                  <c:v>4023236925.9143019</c:v>
                </c:pt>
                <c:pt idx="17">
                  <c:v>4107820766.9955821</c:v>
                </c:pt>
                <c:pt idx="18">
                  <c:v>4186149508.4226837</c:v>
                </c:pt>
                <c:pt idx="19">
                  <c:v>4259186804.8112311</c:v>
                </c:pt>
                <c:pt idx="20">
                  <c:v>4402763617.8007555</c:v>
                </c:pt>
              </c:numCache>
            </c:numRef>
          </c:val>
          <c:smooth val="0"/>
          <c:extLst>
            <c:ext xmlns:c16="http://schemas.microsoft.com/office/drawing/2014/chart" uri="{C3380CC4-5D6E-409C-BE32-E72D297353CC}">
              <c16:uniqueId val="{00000001-E920-4A9E-B9D4-723A13A7F64D}"/>
            </c:ext>
          </c:extLst>
        </c:ser>
        <c:dLbls>
          <c:showLegendKey val="0"/>
          <c:showVal val="0"/>
          <c:showCatName val="0"/>
          <c:showSerName val="0"/>
          <c:showPercent val="0"/>
          <c:showBubbleSize val="0"/>
        </c:dLbls>
        <c:marker val="1"/>
        <c:smooth val="0"/>
        <c:axId val="1189180687"/>
        <c:axId val="1181841951"/>
      </c:lineChart>
      <c:catAx>
        <c:axId val="1189180687"/>
        <c:scaling>
          <c:orientation val="minMax"/>
        </c:scaling>
        <c:delete val="0"/>
        <c:axPos val="b"/>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b="1"/>
                  <a:t>Project Year</a:t>
                </a:r>
              </a:p>
            </c:rich>
          </c:tx>
          <c:layout>
            <c:manualLayout>
              <c:xMode val="edge"/>
              <c:yMode val="edge"/>
              <c:x val="0.86322759770066371"/>
              <c:y val="4.0717342063547782E-2"/>
            </c:manualLayout>
          </c:layout>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high"/>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81841951"/>
        <c:crosses val="autoZero"/>
        <c:auto val="1"/>
        <c:lblAlgn val="ctr"/>
        <c:lblOffset val="100"/>
        <c:noMultiLvlLbl val="0"/>
      </c:catAx>
      <c:valAx>
        <c:axId val="1181841951"/>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b="1"/>
                  <a:t>Cash Flow with IRA</a:t>
                </a:r>
                <a:r>
                  <a:rPr lang="en-US" b="1" baseline="0"/>
                  <a:t> 45V</a:t>
                </a:r>
                <a:r>
                  <a:rPr lang="en-US" b="1"/>
                  <a:t>,</a:t>
                </a:r>
                <a:r>
                  <a:rPr lang="en-US" b="1" baseline="0"/>
                  <a:t> $</a:t>
                </a:r>
                <a:endParaRPr lang="en-US" b="1"/>
              </a:p>
            </c:rich>
          </c:tx>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quot;$&quot;#,###.0,,\ &quot;M&quot;"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89180687"/>
        <c:crosses val="autoZero"/>
        <c:crossBetween val="between"/>
      </c:valAx>
      <c:spPr>
        <a:noFill/>
        <a:ln>
          <a:noFill/>
        </a:ln>
        <a:effectLst/>
      </c:spPr>
    </c:plotArea>
    <c:legend>
      <c:legendPos val="r"/>
      <c:layout>
        <c:manualLayout>
          <c:xMode val="edge"/>
          <c:yMode val="edge"/>
          <c:x val="0.8410105083046111"/>
          <c:y val="0.22503427175748525"/>
          <c:w val="0.14830236708590022"/>
          <c:h val="0.67311579235194785"/>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28575" cap="flat" cmpd="sng" algn="ctr">
      <a:solidFill>
        <a:schemeClr val="tx1"/>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H2 storage</a:t>
            </a:r>
            <a:r>
              <a:rPr lang="en-US" baseline="0"/>
              <a:t> CAPEX</a:t>
            </a:r>
            <a:endParaRPr lang="en-US"/>
          </a:p>
        </c:rich>
      </c:tx>
      <c:layout>
        <c:manualLayout>
          <c:xMode val="edge"/>
          <c:yMode val="edge"/>
          <c:x val="0.38317210949991393"/>
          <c:y val="2.618120527549225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Correlations!$C$19</c:f>
              <c:strCache>
                <c:ptCount val="1"/>
                <c:pt idx="0">
                  <c:v>Material</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xVal>
            <c:numRef>
              <c:f>Correlations!$D$18:$L$18</c:f>
              <c:numCache>
                <c:formatCode>General</c:formatCode>
                <c:ptCount val="9"/>
                <c:pt idx="0">
                  <c:v>6</c:v>
                </c:pt>
                <c:pt idx="1">
                  <c:v>8</c:v>
                </c:pt>
                <c:pt idx="2">
                  <c:v>12</c:v>
                </c:pt>
                <c:pt idx="3">
                  <c:v>16</c:v>
                </c:pt>
                <c:pt idx="4">
                  <c:v>20</c:v>
                </c:pt>
                <c:pt idx="5">
                  <c:v>24</c:v>
                </c:pt>
                <c:pt idx="6">
                  <c:v>32</c:v>
                </c:pt>
                <c:pt idx="7">
                  <c:v>36</c:v>
                </c:pt>
                <c:pt idx="8">
                  <c:v>40</c:v>
                </c:pt>
              </c:numCache>
            </c:numRef>
          </c:xVal>
          <c:yVal>
            <c:numRef>
              <c:f>Correlations!$D$19:$L$19</c:f>
              <c:numCache>
                <c:formatCode>0.00E+00</c:formatCode>
                <c:ptCount val="9"/>
                <c:pt idx="0">
                  <c:v>95752.161863007001</c:v>
                </c:pt>
                <c:pt idx="1">
                  <c:v>110075.13807462026</c:v>
                </c:pt>
                <c:pt idx="2">
                  <c:v>145469.02916907822</c:v>
                </c:pt>
                <c:pt idx="3">
                  <c:v>192243.57850043179</c:v>
                </c:pt>
                <c:pt idx="4">
                  <c:v>254058.15716069692</c:v>
                </c:pt>
                <c:pt idx="5">
                  <c:v>335748.78143326082</c:v>
                </c:pt>
                <c:pt idx="6">
                  <c:v>586377.16335303406</c:v>
                </c:pt>
                <c:pt idx="7">
                  <c:v>774922.64076978876</c:v>
                </c:pt>
                <c:pt idx="8">
                  <c:v>1024093.5982973864</c:v>
                </c:pt>
              </c:numCache>
            </c:numRef>
          </c:yVal>
          <c:smooth val="0"/>
          <c:extLst>
            <c:ext xmlns:c16="http://schemas.microsoft.com/office/drawing/2014/chart" uri="{C3380CC4-5D6E-409C-BE32-E72D297353CC}">
              <c16:uniqueId val="{00000000-C73D-4DA4-9128-05FAC4C00289}"/>
            </c:ext>
          </c:extLst>
        </c:ser>
        <c:ser>
          <c:idx val="1"/>
          <c:order val="1"/>
          <c:tx>
            <c:strRef>
              <c:f>Correlations!$C$20</c:f>
              <c:strCache>
                <c:ptCount val="1"/>
                <c:pt idx="0">
                  <c:v>Labor</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xVal>
            <c:numRef>
              <c:f>Correlations!$D$18:$L$18</c:f>
              <c:numCache>
                <c:formatCode>General</c:formatCode>
                <c:ptCount val="9"/>
                <c:pt idx="0">
                  <c:v>6</c:v>
                </c:pt>
                <c:pt idx="1">
                  <c:v>8</c:v>
                </c:pt>
                <c:pt idx="2">
                  <c:v>12</c:v>
                </c:pt>
                <c:pt idx="3">
                  <c:v>16</c:v>
                </c:pt>
                <c:pt idx="4">
                  <c:v>20</c:v>
                </c:pt>
                <c:pt idx="5">
                  <c:v>24</c:v>
                </c:pt>
                <c:pt idx="6">
                  <c:v>32</c:v>
                </c:pt>
                <c:pt idx="7">
                  <c:v>36</c:v>
                </c:pt>
                <c:pt idx="8">
                  <c:v>40</c:v>
                </c:pt>
              </c:numCache>
            </c:numRef>
          </c:xVal>
          <c:yVal>
            <c:numRef>
              <c:f>Correlations!$D$20:$L$20</c:f>
              <c:numCache>
                <c:formatCode>0.00E+00</c:formatCode>
                <c:ptCount val="9"/>
                <c:pt idx="0">
                  <c:v>275458.85200000001</c:v>
                </c:pt>
                <c:pt idx="1">
                  <c:v>361065.848</c:v>
                </c:pt>
                <c:pt idx="2">
                  <c:v>531046.40800000005</c:v>
                </c:pt>
                <c:pt idx="3">
                  <c:v>699382.39199999999</c:v>
                </c:pt>
                <c:pt idx="4">
                  <c:v>866073.8</c:v>
                </c:pt>
                <c:pt idx="5">
                  <c:v>1031120.632</c:v>
                </c:pt>
                <c:pt idx="6">
                  <c:v>1356280.568</c:v>
                </c:pt>
                <c:pt idx="7">
                  <c:v>1516393.672</c:v>
                </c:pt>
                <c:pt idx="8">
                  <c:v>1674862.2</c:v>
                </c:pt>
              </c:numCache>
            </c:numRef>
          </c:yVal>
          <c:smooth val="0"/>
          <c:extLst>
            <c:ext xmlns:c16="http://schemas.microsoft.com/office/drawing/2014/chart" uri="{C3380CC4-5D6E-409C-BE32-E72D297353CC}">
              <c16:uniqueId val="{00000001-C73D-4DA4-9128-05FAC4C00289}"/>
            </c:ext>
          </c:extLst>
        </c:ser>
        <c:ser>
          <c:idx val="2"/>
          <c:order val="2"/>
          <c:tx>
            <c:strRef>
              <c:f>Correlations!$C$21</c:f>
              <c:strCache>
                <c:ptCount val="1"/>
                <c:pt idx="0">
                  <c:v>Row</c:v>
                </c:pt>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xVal>
            <c:numRef>
              <c:f>Correlations!$D$18:$L$18</c:f>
              <c:numCache>
                <c:formatCode>General</c:formatCode>
                <c:ptCount val="9"/>
                <c:pt idx="0">
                  <c:v>6</c:v>
                </c:pt>
                <c:pt idx="1">
                  <c:v>8</c:v>
                </c:pt>
                <c:pt idx="2">
                  <c:v>12</c:v>
                </c:pt>
                <c:pt idx="3">
                  <c:v>16</c:v>
                </c:pt>
                <c:pt idx="4">
                  <c:v>20</c:v>
                </c:pt>
                <c:pt idx="5">
                  <c:v>24</c:v>
                </c:pt>
                <c:pt idx="6">
                  <c:v>32</c:v>
                </c:pt>
                <c:pt idx="7">
                  <c:v>36</c:v>
                </c:pt>
                <c:pt idx="8">
                  <c:v>40</c:v>
                </c:pt>
              </c:numCache>
            </c:numRef>
          </c:xVal>
          <c:yVal>
            <c:numRef>
              <c:f>Correlations!$D$21:$L$21</c:f>
              <c:numCache>
                <c:formatCode>0.00E+00</c:formatCode>
                <c:ptCount val="9"/>
                <c:pt idx="0">
                  <c:v>190743.59999999998</c:v>
                </c:pt>
                <c:pt idx="1">
                  <c:v>199577.79999999993</c:v>
                </c:pt>
                <c:pt idx="2">
                  <c:v>217246.19999999987</c:v>
                </c:pt>
                <c:pt idx="3">
                  <c:v>234914.59999999977</c:v>
                </c:pt>
                <c:pt idx="4">
                  <c:v>252582.99999999965</c:v>
                </c:pt>
                <c:pt idx="5">
                  <c:v>270251.3999999995</c:v>
                </c:pt>
                <c:pt idx="6">
                  <c:v>305588.19999999908</c:v>
                </c:pt>
                <c:pt idx="7">
                  <c:v>323256.59999999881</c:v>
                </c:pt>
                <c:pt idx="8">
                  <c:v>340924.9999999986</c:v>
                </c:pt>
              </c:numCache>
            </c:numRef>
          </c:yVal>
          <c:smooth val="0"/>
          <c:extLst>
            <c:ext xmlns:c16="http://schemas.microsoft.com/office/drawing/2014/chart" uri="{C3380CC4-5D6E-409C-BE32-E72D297353CC}">
              <c16:uniqueId val="{00000009-C73D-4DA4-9128-05FAC4C00289}"/>
            </c:ext>
          </c:extLst>
        </c:ser>
        <c:ser>
          <c:idx val="3"/>
          <c:order val="3"/>
          <c:tx>
            <c:strRef>
              <c:f>Correlations!$C$22</c:f>
              <c:strCache>
                <c:ptCount val="1"/>
                <c:pt idx="0">
                  <c:v>Miscellaneous Costs</c:v>
                </c:pt>
              </c:strCache>
            </c:strRef>
          </c:tx>
          <c:spPr>
            <a:ln w="28575" cap="rnd">
              <a:solidFill>
                <a:schemeClr val="accent4"/>
              </a:solidFill>
              <a:round/>
            </a:ln>
            <a:effectLst/>
          </c:spPr>
          <c:marker>
            <c:symbol val="circle"/>
            <c:size val="5"/>
            <c:spPr>
              <a:solidFill>
                <a:schemeClr val="accent4"/>
              </a:solidFill>
              <a:ln w="9525">
                <a:solidFill>
                  <a:schemeClr val="accent4"/>
                </a:solidFill>
              </a:ln>
              <a:effectLst/>
            </c:spPr>
          </c:marker>
          <c:xVal>
            <c:numRef>
              <c:f>Correlations!$D$18:$L$18</c:f>
              <c:numCache>
                <c:formatCode>General</c:formatCode>
                <c:ptCount val="9"/>
                <c:pt idx="0">
                  <c:v>6</c:v>
                </c:pt>
                <c:pt idx="1">
                  <c:v>8</c:v>
                </c:pt>
                <c:pt idx="2">
                  <c:v>12</c:v>
                </c:pt>
                <c:pt idx="3">
                  <c:v>16</c:v>
                </c:pt>
                <c:pt idx="4">
                  <c:v>20</c:v>
                </c:pt>
                <c:pt idx="5">
                  <c:v>24</c:v>
                </c:pt>
                <c:pt idx="6">
                  <c:v>32</c:v>
                </c:pt>
                <c:pt idx="7">
                  <c:v>36</c:v>
                </c:pt>
                <c:pt idx="8">
                  <c:v>40</c:v>
                </c:pt>
              </c:numCache>
            </c:numRef>
          </c:xVal>
          <c:yVal>
            <c:numRef>
              <c:f>Correlations!$D$22:$L$22</c:f>
              <c:numCache>
                <c:formatCode>0.00E+00</c:formatCode>
                <c:ptCount val="9"/>
                <c:pt idx="0">
                  <c:v>207923.20712931256</c:v>
                </c:pt>
                <c:pt idx="1">
                  <c:v>248165.95084760946</c:v>
                </c:pt>
                <c:pt idx="2">
                  <c:v>330691.80575255892</c:v>
                </c:pt>
                <c:pt idx="3">
                  <c:v>416820.01108515967</c:v>
                </c:pt>
                <c:pt idx="4">
                  <c:v>507904.53414945764</c:v>
                </c:pt>
                <c:pt idx="5">
                  <c:v>605734.70097030629</c:v>
                </c:pt>
                <c:pt idx="6">
                  <c:v>831850.99460062222</c:v>
                </c:pt>
                <c:pt idx="7">
                  <c:v>967391.97772482131</c:v>
                </c:pt>
                <c:pt idx="8">
                  <c:v>1124755.8953700324</c:v>
                </c:pt>
              </c:numCache>
            </c:numRef>
          </c:yVal>
          <c:smooth val="0"/>
          <c:extLst>
            <c:ext xmlns:c16="http://schemas.microsoft.com/office/drawing/2014/chart" uri="{C3380CC4-5D6E-409C-BE32-E72D297353CC}">
              <c16:uniqueId val="{0000000A-C73D-4DA4-9128-05FAC4C00289}"/>
            </c:ext>
          </c:extLst>
        </c:ser>
        <c:ser>
          <c:idx val="4"/>
          <c:order val="4"/>
          <c:tx>
            <c:strRef>
              <c:f>Correlations!$C$23</c:f>
              <c:strCache>
                <c:ptCount val="1"/>
                <c:pt idx="0">
                  <c:v>Total</c:v>
                </c:pt>
              </c:strCache>
            </c:strRef>
          </c:tx>
          <c:spPr>
            <a:ln w="28575" cap="rnd">
              <a:solidFill>
                <a:schemeClr val="accent5"/>
              </a:solidFill>
              <a:round/>
            </a:ln>
            <a:effectLst/>
          </c:spPr>
          <c:marker>
            <c:symbol val="circle"/>
            <c:size val="5"/>
            <c:spPr>
              <a:solidFill>
                <a:schemeClr val="accent5"/>
              </a:solidFill>
              <a:ln w="9525">
                <a:solidFill>
                  <a:schemeClr val="accent5"/>
                </a:solidFill>
              </a:ln>
              <a:effectLst/>
            </c:spPr>
          </c:marker>
          <c:xVal>
            <c:numRef>
              <c:f>Correlations!$D$18:$L$18</c:f>
              <c:numCache>
                <c:formatCode>General</c:formatCode>
                <c:ptCount val="9"/>
                <c:pt idx="0">
                  <c:v>6</c:v>
                </c:pt>
                <c:pt idx="1">
                  <c:v>8</c:v>
                </c:pt>
                <c:pt idx="2">
                  <c:v>12</c:v>
                </c:pt>
                <c:pt idx="3">
                  <c:v>16</c:v>
                </c:pt>
                <c:pt idx="4">
                  <c:v>20</c:v>
                </c:pt>
                <c:pt idx="5">
                  <c:v>24</c:v>
                </c:pt>
                <c:pt idx="6">
                  <c:v>32</c:v>
                </c:pt>
                <c:pt idx="7">
                  <c:v>36</c:v>
                </c:pt>
                <c:pt idx="8">
                  <c:v>40</c:v>
                </c:pt>
              </c:numCache>
            </c:numRef>
          </c:xVal>
          <c:yVal>
            <c:numRef>
              <c:f>Correlations!$D$23:$L$23</c:f>
              <c:numCache>
                <c:formatCode>0.00E+00</c:formatCode>
                <c:ptCount val="9"/>
                <c:pt idx="0">
                  <c:v>769877.8209923195</c:v>
                </c:pt>
                <c:pt idx="1">
                  <c:v>918884.73692222964</c:v>
                </c:pt>
                <c:pt idx="2">
                  <c:v>1224453.4429216371</c:v>
                </c:pt>
                <c:pt idx="3">
                  <c:v>1543360.5815855912</c:v>
                </c:pt>
                <c:pt idx="4">
                  <c:v>1880619.4913101541</c:v>
                </c:pt>
                <c:pt idx="5">
                  <c:v>2242855.5144035667</c:v>
                </c:pt>
                <c:pt idx="6">
                  <c:v>3080096.9259536555</c:v>
                </c:pt>
                <c:pt idx="7">
                  <c:v>3581964.8904946088</c:v>
                </c:pt>
                <c:pt idx="8">
                  <c:v>4164636.6936674174</c:v>
                </c:pt>
              </c:numCache>
            </c:numRef>
          </c:yVal>
          <c:smooth val="0"/>
          <c:extLst>
            <c:ext xmlns:c16="http://schemas.microsoft.com/office/drawing/2014/chart" uri="{C3380CC4-5D6E-409C-BE32-E72D297353CC}">
              <c16:uniqueId val="{0000000B-C73D-4DA4-9128-05FAC4C00289}"/>
            </c:ext>
          </c:extLst>
        </c:ser>
        <c:dLbls>
          <c:showLegendKey val="0"/>
          <c:showVal val="0"/>
          <c:showCatName val="0"/>
          <c:showSerName val="0"/>
          <c:showPercent val="0"/>
          <c:showBubbleSize val="0"/>
        </c:dLbls>
        <c:axId val="229802799"/>
        <c:axId val="228558431"/>
      </c:scatterChart>
      <c:valAx>
        <c:axId val="22980279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28558431"/>
        <c:crosses val="autoZero"/>
        <c:crossBetween val="midCat"/>
      </c:valAx>
      <c:valAx>
        <c:axId val="228558431"/>
        <c:scaling>
          <c:orientation val="minMax"/>
        </c:scaling>
        <c:delete val="0"/>
        <c:axPos val="l"/>
        <c:majorGridlines>
          <c:spPr>
            <a:ln w="9525" cap="flat" cmpd="sng" algn="ctr">
              <a:solidFill>
                <a:schemeClr val="tx1">
                  <a:lumMod val="15000"/>
                  <a:lumOff val="85000"/>
                </a:schemeClr>
              </a:solidFill>
              <a:round/>
            </a:ln>
            <a:effectLst/>
          </c:spPr>
        </c:majorGridlines>
        <c:numFmt formatCode="0.00E+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29802799"/>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FOAK</a:t>
            </a:r>
          </a:p>
        </c:rich>
      </c:tx>
      <c:layout>
        <c:manualLayout>
          <c:xMode val="edge"/>
          <c:yMode val="edge"/>
          <c:x val="4.0308379080575218E-2"/>
          <c:y val="0.76543315347809526"/>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9408013119950646"/>
          <c:y val="8.2414113321088125E-2"/>
          <c:w val="0.73957126469074586"/>
          <c:h val="0.63580676913165879"/>
        </c:manualLayout>
      </c:layout>
      <c:scatterChart>
        <c:scatterStyle val="lineMarker"/>
        <c:varyColors val="0"/>
        <c:ser>
          <c:idx val="1"/>
          <c:order val="0"/>
          <c:spPr>
            <a:ln w="25400" cap="rnd">
              <a:noFill/>
              <a:round/>
            </a:ln>
            <a:effectLst/>
          </c:spPr>
          <c:marker>
            <c:symbol val="circle"/>
            <c:size val="5"/>
            <c:spPr>
              <a:solidFill>
                <a:schemeClr val="accent2"/>
              </a:solidFill>
              <a:ln w="9525">
                <a:noFill/>
              </a:ln>
              <a:effectLst/>
            </c:spPr>
          </c:marker>
          <c:trendline>
            <c:spPr>
              <a:ln w="19050" cap="rnd">
                <a:solidFill>
                  <a:schemeClr val="accent2"/>
                </a:solidFill>
                <a:prstDash val="sysDot"/>
              </a:ln>
              <a:effectLst/>
            </c:spPr>
            <c:trendlineType val="power"/>
            <c:dispRSqr val="1"/>
            <c:dispEq val="1"/>
            <c:trendlineLbl>
              <c:layout>
                <c:manualLayout>
                  <c:x val="-6.6914478053021476E-2"/>
                  <c:y val="0.12081726980774292"/>
                </c:manualLayout>
              </c:layout>
              <c:numFmt formatCode="General" sourceLinked="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rendlineLbl>
          </c:trendline>
          <c:xVal>
            <c:numRef>
              <c:f>Correlations!$F$3:$L$3</c:f>
              <c:numCache>
                <c:formatCode>General</c:formatCode>
                <c:ptCount val="7"/>
                <c:pt idx="0">
                  <c:v>25</c:v>
                </c:pt>
                <c:pt idx="1">
                  <c:v>50</c:v>
                </c:pt>
                <c:pt idx="2">
                  <c:v>100</c:v>
                </c:pt>
                <c:pt idx="3">
                  <c:v>200</c:v>
                </c:pt>
                <c:pt idx="4">
                  <c:v>400</c:v>
                </c:pt>
                <c:pt idx="5">
                  <c:v>800</c:v>
                </c:pt>
                <c:pt idx="6">
                  <c:v>1600</c:v>
                </c:pt>
              </c:numCache>
            </c:numRef>
          </c:xVal>
          <c:yVal>
            <c:numRef>
              <c:f>Correlations!$F$6:$L$6</c:f>
              <c:numCache>
                <c:formatCode>"$"#,##0</c:formatCode>
                <c:ptCount val="7"/>
                <c:pt idx="0">
                  <c:v>1516.0247057478216</c:v>
                </c:pt>
                <c:pt idx="1">
                  <c:v>1340.8961722294393</c:v>
                </c:pt>
                <c:pt idx="2">
                  <c:v>1212.916826068345</c:v>
                </c:pt>
                <c:pt idx="3">
                  <c:v>1115.2746105842957</c:v>
                </c:pt>
                <c:pt idx="4">
                  <c:v>1037.0312867233592</c:v>
                </c:pt>
                <c:pt idx="5">
                  <c:v>971.97004806665132</c:v>
                </c:pt>
                <c:pt idx="6">
                  <c:v>916.35006859124519</c:v>
                </c:pt>
              </c:numCache>
            </c:numRef>
          </c:yVal>
          <c:smooth val="0"/>
          <c:extLst>
            <c:ext xmlns:c16="http://schemas.microsoft.com/office/drawing/2014/chart" uri="{C3380CC4-5D6E-409C-BE32-E72D297353CC}">
              <c16:uniqueId val="{00000001-532F-431B-93AC-4C414BA1E178}"/>
            </c:ext>
          </c:extLst>
        </c:ser>
        <c:dLbls>
          <c:showLegendKey val="0"/>
          <c:showVal val="0"/>
          <c:showCatName val="0"/>
          <c:showSerName val="0"/>
          <c:showPercent val="0"/>
          <c:showBubbleSize val="0"/>
        </c:dLbls>
        <c:axId val="610677151"/>
        <c:axId val="1110006751"/>
      </c:scatterChart>
      <c:valAx>
        <c:axId val="610677151"/>
        <c:scaling>
          <c:logBase val="10"/>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Total Plant Capacity</a:t>
                </a:r>
                <a:r>
                  <a:rPr lang="en-US" baseline="0"/>
                  <a:t> (MW-dc)</a:t>
                </a:r>
                <a:endParaRPr lang="en-US"/>
              </a:p>
            </c:rich>
          </c:tx>
          <c:layout>
            <c:manualLayout>
              <c:xMode val="edge"/>
              <c:yMode val="edge"/>
              <c:x val="0.71521203413717271"/>
              <c:y val="0.87085040627142674"/>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10006751"/>
        <c:crosses val="autoZero"/>
        <c:crossBetween val="midCat"/>
      </c:valAx>
      <c:valAx>
        <c:axId val="1110006751"/>
        <c:scaling>
          <c:logBase val="10"/>
          <c:orientation val="minMax"/>
          <c:min val="10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DCC, $/KW-dc</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quot;$&quot;#,##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0677151"/>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0309699408109874"/>
          <c:y val="6.6711869349664624E-2"/>
          <c:w val="0.66018307086614181"/>
          <c:h val="0.60818522684664411"/>
        </c:manualLayout>
      </c:layout>
      <c:scatterChart>
        <c:scatterStyle val="lineMarker"/>
        <c:varyColors val="0"/>
        <c:ser>
          <c:idx val="1"/>
          <c:order val="0"/>
          <c:tx>
            <c:strRef>
              <c:f>Correlations!$C$104</c:f>
              <c:strCache>
                <c:ptCount val="1"/>
                <c:pt idx="0">
                  <c:v>LCOH: SMR with CCS (correlated with NG price)</c:v>
                </c:pt>
              </c:strCache>
            </c:strRef>
          </c:tx>
          <c:spPr>
            <a:ln w="19050" cap="rnd">
              <a:solidFill>
                <a:schemeClr val="accent2"/>
              </a:solidFill>
              <a:round/>
            </a:ln>
            <a:effectLst/>
          </c:spPr>
          <c:marker>
            <c:symbol val="square"/>
            <c:size val="7"/>
            <c:spPr>
              <a:noFill/>
              <a:ln w="9525">
                <a:solidFill>
                  <a:schemeClr val="bg1">
                    <a:lumMod val="50000"/>
                  </a:schemeClr>
                </a:solidFill>
              </a:ln>
              <a:effectLst/>
            </c:spPr>
          </c:marker>
          <c:trendline>
            <c:spPr>
              <a:ln w="19050" cap="rnd">
                <a:solidFill>
                  <a:schemeClr val="accent2"/>
                </a:solidFill>
                <a:prstDash val="sysDot"/>
              </a:ln>
              <a:effectLst/>
            </c:spPr>
            <c:trendlineType val="linear"/>
            <c:dispRSqr val="1"/>
            <c:dispEq val="1"/>
            <c:trendlineLbl>
              <c:numFmt formatCode="General" sourceLinked="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rendlineLbl>
          </c:trendline>
          <c:xVal>
            <c:numRef>
              <c:f>Correlations!$F$102:$T$102</c:f>
              <c:numCache>
                <c:formatCode>"$"#,##0.00</c:formatCode>
                <c:ptCount val="15"/>
                <c:pt idx="0">
                  <c:v>3</c:v>
                </c:pt>
                <c:pt idx="1">
                  <c:v>3</c:v>
                </c:pt>
                <c:pt idx="2">
                  <c:v>3</c:v>
                </c:pt>
                <c:pt idx="3">
                  <c:v>3</c:v>
                </c:pt>
                <c:pt idx="4">
                  <c:v>3</c:v>
                </c:pt>
                <c:pt idx="5">
                  <c:v>3</c:v>
                </c:pt>
                <c:pt idx="6">
                  <c:v>3</c:v>
                </c:pt>
                <c:pt idx="7">
                  <c:v>3</c:v>
                </c:pt>
                <c:pt idx="8">
                  <c:v>3</c:v>
                </c:pt>
                <c:pt idx="9">
                  <c:v>3</c:v>
                </c:pt>
                <c:pt idx="10">
                  <c:v>3</c:v>
                </c:pt>
                <c:pt idx="11">
                  <c:v>3</c:v>
                </c:pt>
                <c:pt idx="12">
                  <c:v>3</c:v>
                </c:pt>
                <c:pt idx="13">
                  <c:v>3</c:v>
                </c:pt>
                <c:pt idx="14">
                  <c:v>3</c:v>
                </c:pt>
              </c:numCache>
            </c:numRef>
          </c:xVal>
          <c:yVal>
            <c:numRef>
              <c:f>Correlations!$F$104:$T$104</c:f>
              <c:numCache>
                <c:formatCode>"$"#,##0.00</c:formatCode>
                <c:ptCount val="15"/>
                <c:pt idx="0">
                  <c:v>1.379243051669387</c:v>
                </c:pt>
                <c:pt idx="1">
                  <c:v>1.3945452962651945</c:v>
                </c:pt>
                <c:pt idx="2">
                  <c:v>1.4098475408610016</c:v>
                </c:pt>
                <c:pt idx="3">
                  <c:v>1.4251497854568078</c:v>
                </c:pt>
                <c:pt idx="4">
                  <c:v>1.4404520300526156</c:v>
                </c:pt>
                <c:pt idx="5">
                  <c:v>1.4557542746484229</c:v>
                </c:pt>
                <c:pt idx="6">
                  <c:v>1.4710565192442291</c:v>
                </c:pt>
                <c:pt idx="7">
                  <c:v>1.4863587638400366</c:v>
                </c:pt>
                <c:pt idx="8">
                  <c:v>1.5016610084358439</c:v>
                </c:pt>
                <c:pt idx="9">
                  <c:v>1.5169632530316506</c:v>
                </c:pt>
                <c:pt idx="10">
                  <c:v>1.5322654976274572</c:v>
                </c:pt>
                <c:pt idx="11">
                  <c:v>1.5475677422232641</c:v>
                </c:pt>
                <c:pt idx="12">
                  <c:v>1.5628699868190714</c:v>
                </c:pt>
                <c:pt idx="13">
                  <c:v>1.5781722314148785</c:v>
                </c:pt>
                <c:pt idx="14">
                  <c:v>1.5934744760106847</c:v>
                </c:pt>
              </c:numCache>
            </c:numRef>
          </c:yVal>
          <c:smooth val="0"/>
          <c:extLst>
            <c:ext xmlns:c16="http://schemas.microsoft.com/office/drawing/2014/chart" uri="{C3380CC4-5D6E-409C-BE32-E72D297353CC}">
              <c16:uniqueId val="{00000000-AFDE-4384-B090-A29E666CE75E}"/>
            </c:ext>
          </c:extLst>
        </c:ser>
        <c:ser>
          <c:idx val="3"/>
          <c:order val="1"/>
          <c:tx>
            <c:strRef>
              <c:f>Correlations!$C$105</c:f>
              <c:strCache>
                <c:ptCount val="1"/>
                <c:pt idx="0">
                  <c:v>LCOH: SMR without CCS (Correlated with NG price)</c:v>
                </c:pt>
              </c:strCache>
            </c:strRef>
          </c:tx>
          <c:spPr>
            <a:ln w="19050" cap="rnd">
              <a:solidFill>
                <a:schemeClr val="accent4"/>
              </a:solidFill>
              <a:round/>
            </a:ln>
            <a:effectLst/>
          </c:spPr>
          <c:marker>
            <c:symbol val="triangle"/>
            <c:size val="7"/>
            <c:spPr>
              <a:noFill/>
              <a:ln w="9525">
                <a:solidFill>
                  <a:srgbClr val="7030A0"/>
                </a:solidFill>
              </a:ln>
              <a:effectLst/>
            </c:spPr>
          </c:marker>
          <c:trendline>
            <c:spPr>
              <a:ln w="19050" cap="rnd">
                <a:solidFill>
                  <a:schemeClr val="accent4"/>
                </a:solidFill>
                <a:prstDash val="sysDot"/>
              </a:ln>
              <a:effectLst/>
            </c:spPr>
            <c:trendlineType val="linear"/>
            <c:dispRSqr val="1"/>
            <c:dispEq val="1"/>
            <c:trendlineLbl>
              <c:layout>
                <c:manualLayout>
                  <c:x val="0.18435595769827018"/>
                  <c:y val="9.8420822397200347E-2"/>
                </c:manualLayout>
              </c:layout>
              <c:numFmt formatCode="General" sourceLinked="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rendlineLbl>
          </c:trendline>
          <c:xVal>
            <c:numRef>
              <c:f>Correlations!$F$102:$T$102</c:f>
              <c:numCache>
                <c:formatCode>"$"#,##0.00</c:formatCode>
                <c:ptCount val="15"/>
                <c:pt idx="0">
                  <c:v>3</c:v>
                </c:pt>
                <c:pt idx="1">
                  <c:v>3</c:v>
                </c:pt>
                <c:pt idx="2">
                  <c:v>3</c:v>
                </c:pt>
                <c:pt idx="3">
                  <c:v>3</c:v>
                </c:pt>
                <c:pt idx="4">
                  <c:v>3</c:v>
                </c:pt>
                <c:pt idx="5">
                  <c:v>3</c:v>
                </c:pt>
                <c:pt idx="6">
                  <c:v>3</c:v>
                </c:pt>
                <c:pt idx="7">
                  <c:v>3</c:v>
                </c:pt>
                <c:pt idx="8">
                  <c:v>3</c:v>
                </c:pt>
                <c:pt idx="9">
                  <c:v>3</c:v>
                </c:pt>
                <c:pt idx="10">
                  <c:v>3</c:v>
                </c:pt>
                <c:pt idx="11">
                  <c:v>3</c:v>
                </c:pt>
                <c:pt idx="12">
                  <c:v>3</c:v>
                </c:pt>
                <c:pt idx="13">
                  <c:v>3</c:v>
                </c:pt>
                <c:pt idx="14">
                  <c:v>3</c:v>
                </c:pt>
              </c:numCache>
            </c:numRef>
          </c:xVal>
          <c:yVal>
            <c:numRef>
              <c:f>Correlations!$F$105:$T$105</c:f>
              <c:numCache>
                <c:formatCode>"$"#,##0.00</c:formatCode>
                <c:ptCount val="15"/>
                <c:pt idx="0">
                  <c:v>0.73521223619607345</c:v>
                </c:pt>
                <c:pt idx="1">
                  <c:v>0.73654808006122996</c:v>
                </c:pt>
                <c:pt idx="2">
                  <c:v>0.73788392392638646</c:v>
                </c:pt>
                <c:pt idx="3">
                  <c:v>0.73921976779154186</c:v>
                </c:pt>
                <c:pt idx="4">
                  <c:v>0.74055561165669814</c:v>
                </c:pt>
                <c:pt idx="5">
                  <c:v>0.74189145552185454</c:v>
                </c:pt>
                <c:pt idx="6">
                  <c:v>0.74322729938701038</c:v>
                </c:pt>
                <c:pt idx="7">
                  <c:v>0.74456314325216677</c:v>
                </c:pt>
                <c:pt idx="8">
                  <c:v>0.74589898711732272</c:v>
                </c:pt>
                <c:pt idx="9">
                  <c:v>0.74723483098247911</c:v>
                </c:pt>
                <c:pt idx="10">
                  <c:v>0.74857067484763518</c:v>
                </c:pt>
                <c:pt idx="11">
                  <c:v>0.74990651871279124</c:v>
                </c:pt>
                <c:pt idx="12">
                  <c:v>0.75124236257794741</c:v>
                </c:pt>
                <c:pt idx="13">
                  <c:v>0.75257820644310391</c:v>
                </c:pt>
                <c:pt idx="14">
                  <c:v>0.75391405030826009</c:v>
                </c:pt>
              </c:numCache>
            </c:numRef>
          </c:yVal>
          <c:smooth val="0"/>
          <c:extLst xmlns:c15="http://schemas.microsoft.com/office/drawing/2012/chart">
            <c:ext xmlns:c16="http://schemas.microsoft.com/office/drawing/2014/chart" uri="{C3380CC4-5D6E-409C-BE32-E72D297353CC}">
              <c16:uniqueId val="{00000002-DA4C-4B49-93D8-BC85BB382B43}"/>
            </c:ext>
          </c:extLst>
        </c:ser>
        <c:dLbls>
          <c:showLegendKey val="0"/>
          <c:showVal val="0"/>
          <c:showCatName val="0"/>
          <c:showSerName val="0"/>
          <c:showPercent val="0"/>
          <c:showBubbleSize val="0"/>
        </c:dLbls>
        <c:axId val="140291248"/>
        <c:axId val="140297008"/>
        <c:extLst/>
      </c:scatterChart>
      <c:valAx>
        <c:axId val="140291248"/>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500" b="1" i="0" u="none" strike="noStrike" kern="1200" baseline="0">
                    <a:solidFill>
                      <a:schemeClr val="tx1">
                        <a:lumMod val="65000"/>
                        <a:lumOff val="35000"/>
                      </a:schemeClr>
                    </a:solidFill>
                    <a:latin typeface="+mn-lt"/>
                    <a:ea typeface="+mn-ea"/>
                    <a:cs typeface="+mn-cs"/>
                  </a:defRPr>
                </a:pPr>
                <a:r>
                  <a:rPr lang="en-US" sz="1500" b="1"/>
                  <a:t>Natural Gas Price,</a:t>
                </a:r>
                <a:r>
                  <a:rPr lang="en-US" sz="1500" b="1" baseline="0"/>
                  <a:t> $/ MMBtu</a:t>
                </a:r>
                <a:endParaRPr lang="en-US" sz="1500" b="1"/>
              </a:p>
            </c:rich>
          </c:tx>
          <c:layout>
            <c:manualLayout>
              <c:xMode val="edge"/>
              <c:yMode val="edge"/>
              <c:x val="0.51542627895197313"/>
              <c:y val="0.59307524059492567"/>
            </c:manualLayout>
          </c:layout>
          <c:overlay val="0"/>
          <c:spPr>
            <a:noFill/>
            <a:ln>
              <a:noFill/>
            </a:ln>
            <a:effectLst/>
          </c:spPr>
          <c:txPr>
            <a:bodyPr rot="0" spcFirstLastPara="1" vertOverflow="ellipsis" vert="horz" wrap="square" anchor="ctr" anchorCtr="1"/>
            <a:lstStyle/>
            <a:p>
              <a:pPr>
                <a:defRPr sz="1500" b="1" i="0" u="none" strike="noStrike" kern="1200" baseline="0">
                  <a:solidFill>
                    <a:schemeClr val="tx1">
                      <a:lumMod val="65000"/>
                      <a:lumOff val="35000"/>
                    </a:schemeClr>
                  </a:solidFill>
                  <a:latin typeface="+mn-lt"/>
                  <a:ea typeface="+mn-ea"/>
                  <a:cs typeface="+mn-cs"/>
                </a:defRPr>
              </a:pPr>
              <a:endParaRPr lang="en-US"/>
            </a:p>
          </c:txPr>
        </c:title>
        <c:numFmt formatCode="&quot;$&quot;#,##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140297008"/>
        <c:crosses val="autoZero"/>
        <c:crossBetween val="midCat"/>
        <c:majorUnit val="5"/>
      </c:valAx>
      <c:valAx>
        <c:axId val="140297008"/>
        <c:scaling>
          <c:orientation val="minMax"/>
        </c:scaling>
        <c:delete val="0"/>
        <c:axPos val="l"/>
        <c:title>
          <c:tx>
            <c:rich>
              <a:bodyPr rot="-540000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sz="1500" b="1" i="0" u="none" strike="noStrike" kern="1200" baseline="0">
                    <a:solidFill>
                      <a:sysClr val="windowText" lastClr="000000">
                        <a:lumMod val="65000"/>
                        <a:lumOff val="35000"/>
                      </a:sysClr>
                    </a:solidFill>
                    <a:latin typeface="+mn-lt"/>
                    <a:ea typeface="+mn-ea"/>
                    <a:cs typeface="+mn-cs"/>
                  </a:defRPr>
                </a:pPr>
                <a:r>
                  <a:rPr lang="en-US" sz="1500" b="1" i="0" u="none" strike="noStrike" kern="1200" baseline="0">
                    <a:solidFill>
                      <a:sysClr val="windowText" lastClr="000000">
                        <a:lumMod val="65000"/>
                        <a:lumOff val="35000"/>
                      </a:sysClr>
                    </a:solidFill>
                  </a:rPr>
                  <a:t>LCOH, $/kg</a:t>
                </a:r>
              </a:p>
            </c:rich>
          </c:tx>
          <c:overlay val="0"/>
          <c:spPr>
            <a:noFill/>
            <a:ln>
              <a:noFill/>
            </a:ln>
            <a:effectLst/>
          </c:spPr>
          <c:txPr>
            <a:bodyPr rot="-540000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sz="1500" b="1" i="0" u="none" strike="noStrike" kern="1200" baseline="0">
                  <a:solidFill>
                    <a:sysClr val="windowText" lastClr="000000">
                      <a:lumMod val="65000"/>
                      <a:lumOff val="35000"/>
                    </a:sysClr>
                  </a:solidFill>
                  <a:latin typeface="+mn-lt"/>
                  <a:ea typeface="+mn-ea"/>
                  <a:cs typeface="+mn-cs"/>
                </a:defRPr>
              </a:pPr>
              <a:endParaRPr lang="en-US"/>
            </a:p>
          </c:txPr>
        </c:title>
        <c:numFmt formatCode="&quot;$&quot;#,##0.0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140291248"/>
        <c:crosses val="autoZero"/>
        <c:crossBetween val="midCat"/>
      </c:valAx>
      <c:spPr>
        <a:noFill/>
        <a:ln>
          <a:noFill/>
        </a:ln>
        <a:effectLst/>
      </c:spPr>
    </c:plotArea>
    <c:legend>
      <c:legendPos val="b"/>
      <c:layout>
        <c:manualLayout>
          <c:xMode val="edge"/>
          <c:yMode val="edge"/>
          <c:x val="6.1111111111111109E-2"/>
          <c:y val="0.73507374078240217"/>
          <c:w val="0.89999995547810063"/>
          <c:h val="0.26492640567144116"/>
        </c:manualLayout>
      </c:layout>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9885534342495126"/>
          <c:y val="7.638806867891515E-2"/>
          <c:w val="0.72488209295840589"/>
          <c:h val="0.56322794481694072"/>
        </c:manualLayout>
      </c:layout>
      <c:scatterChart>
        <c:scatterStyle val="lineMarker"/>
        <c:varyColors val="0"/>
        <c:ser>
          <c:idx val="2"/>
          <c:order val="0"/>
          <c:tx>
            <c:v>Raw data (2023)</c:v>
          </c:tx>
          <c:spPr>
            <a:ln w="25400" cap="rnd">
              <a:noFill/>
              <a:round/>
            </a:ln>
            <a:effectLst/>
          </c:spPr>
          <c:marker>
            <c:symbol val="triangle"/>
            <c:size val="5"/>
            <c:spPr>
              <a:solidFill>
                <a:srgbClr val="FFC000"/>
              </a:solidFill>
              <a:ln w="9525">
                <a:noFill/>
              </a:ln>
              <a:effectLst/>
            </c:spPr>
          </c:marker>
          <c:trendline>
            <c:spPr>
              <a:ln w="19050" cap="rnd">
                <a:solidFill>
                  <a:schemeClr val="accent3"/>
                </a:solidFill>
                <a:prstDash val="sysDot"/>
              </a:ln>
              <a:effectLst/>
            </c:spPr>
            <c:trendlineType val="linear"/>
            <c:dispRSqr val="1"/>
            <c:dispEq val="1"/>
            <c:trendlineLbl>
              <c:layout>
                <c:manualLayout>
                  <c:x val="1.1418491286060519E-3"/>
                  <c:y val="-4.6516060492438442E-2"/>
                </c:manualLayout>
              </c:layout>
              <c:numFmt formatCode="General" sourceLinked="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rendlineLbl>
          </c:trendline>
          <c:trendline>
            <c:spPr>
              <a:ln w="19050" cap="rnd">
                <a:solidFill>
                  <a:schemeClr val="accent3"/>
                </a:solidFill>
                <a:prstDash val="sysDot"/>
              </a:ln>
              <a:effectLst/>
            </c:spPr>
            <c:trendlineType val="log"/>
            <c:dispRSqr val="1"/>
            <c:dispEq val="1"/>
            <c:trendlineLbl>
              <c:layout>
                <c:manualLayout>
                  <c:x val="0.24085405650035621"/>
                  <c:y val="0.12540526184226972"/>
                </c:manualLayout>
              </c:layout>
              <c:numFmt formatCode="General" sourceLinked="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rendlineLbl>
          </c:trendline>
          <c:xVal>
            <c:numRef>
              <c:f>Correlations!$G$56:$AI$56</c:f>
              <c:numCache>
                <c:formatCode>"$"#,##0.00</c:formatCode>
                <c:ptCount val="29"/>
                <c:pt idx="0">
                  <c:v>7.33</c:v>
                </c:pt>
                <c:pt idx="1">
                  <c:v>6.27</c:v>
                </c:pt>
                <c:pt idx="2">
                  <c:v>5.1604200000000002</c:v>
                </c:pt>
                <c:pt idx="3">
                  <c:v>4.5920259999999997</c:v>
                </c:pt>
                <c:pt idx="4">
                  <c:v>4.1592359999999999</c:v>
                </c:pt>
                <c:pt idx="5">
                  <c:v>3.9202270000000001</c:v>
                </c:pt>
                <c:pt idx="6">
                  <c:v>3.8369740000000001</c:v>
                </c:pt>
                <c:pt idx="7">
                  <c:v>3.8520029999999998</c:v>
                </c:pt>
                <c:pt idx="8">
                  <c:v>3.9104890000000001</c:v>
                </c:pt>
                <c:pt idx="9">
                  <c:v>4.015809</c:v>
                </c:pt>
                <c:pt idx="10">
                  <c:v>4.1266280000000002</c:v>
                </c:pt>
                <c:pt idx="11">
                  <c:v>4.2846310000000001</c:v>
                </c:pt>
                <c:pt idx="12">
                  <c:v>4.4108970000000003</c:v>
                </c:pt>
                <c:pt idx="13">
                  <c:v>4.5220779999999996</c:v>
                </c:pt>
                <c:pt idx="14">
                  <c:v>4.5410050000000002</c:v>
                </c:pt>
                <c:pt idx="15">
                  <c:v>4.5855629999999996</c:v>
                </c:pt>
                <c:pt idx="16">
                  <c:v>4.709835</c:v>
                </c:pt>
                <c:pt idx="17">
                  <c:v>4.6547780000000003</c:v>
                </c:pt>
                <c:pt idx="18">
                  <c:v>4.7746180000000003</c:v>
                </c:pt>
                <c:pt idx="19">
                  <c:v>4.8514379999999999</c:v>
                </c:pt>
                <c:pt idx="20">
                  <c:v>4.8454240000000004</c:v>
                </c:pt>
                <c:pt idx="21">
                  <c:v>4.7942140000000002</c:v>
                </c:pt>
                <c:pt idx="22">
                  <c:v>4.7445890000000004</c:v>
                </c:pt>
                <c:pt idx="23">
                  <c:v>4.7421860000000002</c:v>
                </c:pt>
                <c:pt idx="24">
                  <c:v>4.7064450000000004</c:v>
                </c:pt>
                <c:pt idx="25">
                  <c:v>4.6718780000000004</c:v>
                </c:pt>
                <c:pt idx="26">
                  <c:v>4.6380869999999996</c:v>
                </c:pt>
                <c:pt idx="27">
                  <c:v>4.5964590000000003</c:v>
                </c:pt>
                <c:pt idx="28">
                  <c:v>4.5926539999999996</c:v>
                </c:pt>
              </c:numCache>
            </c:numRef>
          </c:xVal>
          <c:yVal>
            <c:numRef>
              <c:f>Correlations!$G$55:$AI$55</c:f>
              <c:numCache>
                <c:formatCode>"$"#,##0.00</c:formatCode>
                <c:ptCount val="29"/>
                <c:pt idx="0">
                  <c:v>83.324518632003844</c:v>
                </c:pt>
                <c:pt idx="1">
                  <c:v>81.789054529448478</c:v>
                </c:pt>
                <c:pt idx="2">
                  <c:v>75.630369432663073</c:v>
                </c:pt>
                <c:pt idx="3">
                  <c:v>71.509821852042677</c:v>
                </c:pt>
                <c:pt idx="4">
                  <c:v>68.770574365938629</c:v>
                </c:pt>
                <c:pt idx="5">
                  <c:v>66.848831853032195</c:v>
                </c:pt>
                <c:pt idx="6">
                  <c:v>65.609282392321305</c:v>
                </c:pt>
                <c:pt idx="7">
                  <c:v>64.946081325003149</c:v>
                </c:pt>
                <c:pt idx="8">
                  <c:v>64.777692095089591</c:v>
                </c:pt>
                <c:pt idx="9">
                  <c:v>64.753571660109657</c:v>
                </c:pt>
                <c:pt idx="10">
                  <c:v>64.795049663733366</c:v>
                </c:pt>
                <c:pt idx="11">
                  <c:v>65.894162165482086</c:v>
                </c:pt>
                <c:pt idx="12">
                  <c:v>66.225525555240878</c:v>
                </c:pt>
                <c:pt idx="13">
                  <c:v>66.051458520290296</c:v>
                </c:pt>
                <c:pt idx="14">
                  <c:v>66.471779875866261</c:v>
                </c:pt>
                <c:pt idx="15">
                  <c:v>67.024816512039735</c:v>
                </c:pt>
                <c:pt idx="16">
                  <c:v>67.934811018490393</c:v>
                </c:pt>
                <c:pt idx="17">
                  <c:v>68.717317646577101</c:v>
                </c:pt>
                <c:pt idx="18">
                  <c:v>69.276192458482754</c:v>
                </c:pt>
                <c:pt idx="19">
                  <c:v>69.73815901266245</c:v>
                </c:pt>
                <c:pt idx="20">
                  <c:v>69.769223157528373</c:v>
                </c:pt>
                <c:pt idx="21">
                  <c:v>69.638480095267013</c:v>
                </c:pt>
                <c:pt idx="22">
                  <c:v>69.613731826076261</c:v>
                </c:pt>
                <c:pt idx="23">
                  <c:v>69.446628973866396</c:v>
                </c:pt>
                <c:pt idx="24">
                  <c:v>69.01487694108252</c:v>
                </c:pt>
                <c:pt idx="25">
                  <c:v>68.567845334407011</c:v>
                </c:pt>
                <c:pt idx="26">
                  <c:v>68.321928815884192</c:v>
                </c:pt>
                <c:pt idx="27">
                  <c:v>67.882253788331155</c:v>
                </c:pt>
                <c:pt idx="28">
                  <c:v>67.246595534870394</c:v>
                </c:pt>
              </c:numCache>
            </c:numRef>
          </c:yVal>
          <c:smooth val="0"/>
          <c:extLst>
            <c:ext xmlns:c16="http://schemas.microsoft.com/office/drawing/2014/chart" uri="{C3380CC4-5D6E-409C-BE32-E72D297353CC}">
              <c16:uniqueId val="{00000000-48A8-4900-A03D-102129229722}"/>
            </c:ext>
          </c:extLst>
        </c:ser>
        <c:ser>
          <c:idx val="3"/>
          <c:order val="1"/>
          <c:tx>
            <c:strRef>
              <c:f>Correlations!$C$57</c:f>
              <c:strCache>
                <c:ptCount val="1"/>
                <c:pt idx="0">
                  <c:v>Correlation (AEO 2023)</c:v>
                </c:pt>
              </c:strCache>
            </c:strRef>
          </c:tx>
          <c:spPr>
            <a:ln w="19050" cap="rnd">
              <a:solidFill>
                <a:srgbClr val="0070C0"/>
              </a:solidFill>
              <a:round/>
            </a:ln>
            <a:effectLst/>
          </c:spPr>
          <c:marker>
            <c:symbol val="none"/>
          </c:marker>
          <c:xVal>
            <c:numRef>
              <c:f>Correlations!$G$56:$AI$56</c:f>
              <c:numCache>
                <c:formatCode>"$"#,##0.00</c:formatCode>
                <c:ptCount val="29"/>
                <c:pt idx="0">
                  <c:v>7.33</c:v>
                </c:pt>
                <c:pt idx="1">
                  <c:v>6.27</c:v>
                </c:pt>
                <c:pt idx="2">
                  <c:v>5.1604200000000002</c:v>
                </c:pt>
                <c:pt idx="3">
                  <c:v>4.5920259999999997</c:v>
                </c:pt>
                <c:pt idx="4">
                  <c:v>4.1592359999999999</c:v>
                </c:pt>
                <c:pt idx="5">
                  <c:v>3.9202270000000001</c:v>
                </c:pt>
                <c:pt idx="6">
                  <c:v>3.8369740000000001</c:v>
                </c:pt>
                <c:pt idx="7">
                  <c:v>3.8520029999999998</c:v>
                </c:pt>
                <c:pt idx="8">
                  <c:v>3.9104890000000001</c:v>
                </c:pt>
                <c:pt idx="9">
                  <c:v>4.015809</c:v>
                </c:pt>
                <c:pt idx="10">
                  <c:v>4.1266280000000002</c:v>
                </c:pt>
                <c:pt idx="11">
                  <c:v>4.2846310000000001</c:v>
                </c:pt>
                <c:pt idx="12">
                  <c:v>4.4108970000000003</c:v>
                </c:pt>
                <c:pt idx="13">
                  <c:v>4.5220779999999996</c:v>
                </c:pt>
                <c:pt idx="14">
                  <c:v>4.5410050000000002</c:v>
                </c:pt>
                <c:pt idx="15">
                  <c:v>4.5855629999999996</c:v>
                </c:pt>
                <c:pt idx="16">
                  <c:v>4.709835</c:v>
                </c:pt>
                <c:pt idx="17">
                  <c:v>4.6547780000000003</c:v>
                </c:pt>
                <c:pt idx="18">
                  <c:v>4.7746180000000003</c:v>
                </c:pt>
                <c:pt idx="19">
                  <c:v>4.8514379999999999</c:v>
                </c:pt>
                <c:pt idx="20">
                  <c:v>4.8454240000000004</c:v>
                </c:pt>
                <c:pt idx="21">
                  <c:v>4.7942140000000002</c:v>
                </c:pt>
                <c:pt idx="22">
                  <c:v>4.7445890000000004</c:v>
                </c:pt>
                <c:pt idx="23">
                  <c:v>4.7421860000000002</c:v>
                </c:pt>
                <c:pt idx="24">
                  <c:v>4.7064450000000004</c:v>
                </c:pt>
                <c:pt idx="25">
                  <c:v>4.6718780000000004</c:v>
                </c:pt>
                <c:pt idx="26">
                  <c:v>4.6380869999999996</c:v>
                </c:pt>
                <c:pt idx="27">
                  <c:v>4.5964590000000003</c:v>
                </c:pt>
                <c:pt idx="28">
                  <c:v>4.5926539999999996</c:v>
                </c:pt>
              </c:numCache>
            </c:numRef>
          </c:xVal>
          <c:yVal>
            <c:numRef>
              <c:f>Correlations!$G$57:$AI$57</c:f>
              <c:numCache>
                <c:formatCode>"$"#,##0.00</c:formatCode>
                <c:ptCount val="29"/>
                <c:pt idx="0">
                  <c:v>84.805011954217434</c:v>
                </c:pt>
                <c:pt idx="1">
                  <c:v>78.535312999774291</c:v>
                </c:pt>
                <c:pt idx="2">
                  <c:v>71.972357748952575</c:v>
                </c:pt>
                <c:pt idx="3">
                  <c:v>68.610415043752809</c:v>
                </c:pt>
                <c:pt idx="4">
                  <c:v>66.050544279136346</c:v>
                </c:pt>
                <c:pt idx="5">
                  <c:v>64.636851375926454</c:v>
                </c:pt>
                <c:pt idx="6">
                  <c:v>64.144425671158288</c:v>
                </c:pt>
                <c:pt idx="7">
                  <c:v>64.233319355673686</c:v>
                </c:pt>
                <c:pt idx="8">
                  <c:v>64.579252952890243</c:v>
                </c:pt>
                <c:pt idx="9">
                  <c:v>65.202200777307183</c:v>
                </c:pt>
                <c:pt idx="10">
                  <c:v>65.857674143752888</c:v>
                </c:pt>
                <c:pt idx="11">
                  <c:v>66.792231921015969</c:v>
                </c:pt>
                <c:pt idx="12">
                  <c:v>67.539071362696831</c:v>
                </c:pt>
                <c:pt idx="13">
                  <c:v>68.196685890483579</c:v>
                </c:pt>
                <c:pt idx="14">
                  <c:v>68.308635505682389</c:v>
                </c:pt>
                <c:pt idx="15">
                  <c:v>68.572187624561707</c:v>
                </c:pt>
                <c:pt idx="16">
                  <c:v>69.307232934435817</c:v>
                </c:pt>
                <c:pt idx="17">
                  <c:v>68.981581221855848</c:v>
                </c:pt>
                <c:pt idx="18">
                  <c:v>69.690412092327989</c:v>
                </c:pt>
                <c:pt idx="19">
                  <c:v>70.144787822215079</c:v>
                </c:pt>
                <c:pt idx="20">
                  <c:v>70.109216152864121</c:v>
                </c:pt>
                <c:pt idx="21">
                  <c:v>69.806318715640501</c:v>
                </c:pt>
                <c:pt idx="22">
                  <c:v>69.512796252796875</c:v>
                </c:pt>
                <c:pt idx="23">
                  <c:v>69.498582963563365</c:v>
                </c:pt>
                <c:pt idx="24">
                  <c:v>69.28718172740227</c:v>
                </c:pt>
                <c:pt idx="25">
                  <c:v>69.082724478573752</c:v>
                </c:pt>
                <c:pt idx="26">
                  <c:v>68.882857122564701</c:v>
                </c:pt>
                <c:pt idx="27">
                  <c:v>68.636635397965122</c:v>
                </c:pt>
                <c:pt idx="28">
                  <c:v>68.614129544642793</c:v>
                </c:pt>
              </c:numCache>
            </c:numRef>
          </c:yVal>
          <c:smooth val="0"/>
          <c:extLst>
            <c:ext xmlns:c16="http://schemas.microsoft.com/office/drawing/2014/chart" uri="{C3380CC4-5D6E-409C-BE32-E72D297353CC}">
              <c16:uniqueId val="{00000001-48A8-4900-A03D-102129229722}"/>
            </c:ext>
          </c:extLst>
        </c:ser>
        <c:ser>
          <c:idx val="0"/>
          <c:order val="2"/>
          <c:tx>
            <c:v>Extrapolation</c:v>
          </c:tx>
          <c:spPr>
            <a:ln w="25400" cap="rnd">
              <a:solidFill>
                <a:srgbClr val="FF0000"/>
              </a:solidFill>
              <a:prstDash val="dash"/>
              <a:round/>
            </a:ln>
            <a:effectLst/>
          </c:spPr>
          <c:marker>
            <c:symbol val="none"/>
          </c:marker>
          <c:xVal>
            <c:numRef>
              <c:f>Correlations!$AJ$56:$AX$56</c:f>
              <c:numCache>
                <c:formatCode>"$"#,##0.00</c:formatCode>
                <c:ptCount val="15"/>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numCache>
            </c:numRef>
          </c:xVal>
          <c:yVal>
            <c:numRef>
              <c:f>Correlations!$AJ$57:$AX$57</c:f>
              <c:numCache>
                <c:formatCode>"$"#,##0.00</c:formatCode>
                <c:ptCount val="15"/>
                <c:pt idx="0">
                  <c:v>47.364262537590015</c:v>
                </c:pt>
                <c:pt idx="1">
                  <c:v>53.279072871970328</c:v>
                </c:pt>
                <c:pt idx="2">
                  <c:v>59.193883206350648</c:v>
                </c:pt>
                <c:pt idx="3">
                  <c:v>65.108693540730968</c:v>
                </c:pt>
                <c:pt idx="4">
                  <c:v>71.023503875111288</c:v>
                </c:pt>
                <c:pt idx="5">
                  <c:v>76.938314209491608</c:v>
                </c:pt>
                <c:pt idx="6">
                  <c:v>82.853124543871928</c:v>
                </c:pt>
                <c:pt idx="7">
                  <c:v>88.767934878252248</c:v>
                </c:pt>
                <c:pt idx="8">
                  <c:v>94.682745212632568</c:v>
                </c:pt>
                <c:pt idx="9">
                  <c:v>100.59755554701289</c:v>
                </c:pt>
                <c:pt idx="10">
                  <c:v>106.51236588139321</c:v>
                </c:pt>
                <c:pt idx="11">
                  <c:v>112.4271762157735</c:v>
                </c:pt>
                <c:pt idx="12">
                  <c:v>118.34198655015382</c:v>
                </c:pt>
                <c:pt idx="13">
                  <c:v>124.25679688453414</c:v>
                </c:pt>
                <c:pt idx="14">
                  <c:v>130.17160721891446</c:v>
                </c:pt>
              </c:numCache>
            </c:numRef>
          </c:yVal>
          <c:smooth val="0"/>
          <c:extLst>
            <c:ext xmlns:c16="http://schemas.microsoft.com/office/drawing/2014/chart" uri="{C3380CC4-5D6E-409C-BE32-E72D297353CC}">
              <c16:uniqueId val="{00000001-14B8-48DE-AAE8-D9C36D995016}"/>
            </c:ext>
          </c:extLst>
        </c:ser>
        <c:dLbls>
          <c:showLegendKey val="0"/>
          <c:showVal val="0"/>
          <c:showCatName val="0"/>
          <c:showSerName val="0"/>
          <c:showPercent val="0"/>
          <c:showBubbleSize val="0"/>
        </c:dLbls>
        <c:axId val="140291248"/>
        <c:axId val="140297008"/>
      </c:scatterChart>
      <c:valAx>
        <c:axId val="140291248"/>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sz="1200" b="1" i="0" u="none" strike="noStrike" kern="1200" baseline="0">
                    <a:solidFill>
                      <a:sysClr val="windowText" lastClr="000000">
                        <a:lumMod val="65000"/>
                        <a:lumOff val="35000"/>
                      </a:sysClr>
                    </a:solidFill>
                    <a:latin typeface="+mn-lt"/>
                    <a:ea typeface="+mn-ea"/>
                    <a:cs typeface="+mn-cs"/>
                  </a:defRPr>
                </a:pPr>
                <a:r>
                  <a:rPr lang="en-US" sz="1200" b="1" i="0" u="none" strike="noStrike" kern="1200" baseline="0">
                    <a:solidFill>
                      <a:sysClr val="windowText" lastClr="000000">
                        <a:lumMod val="65000"/>
                        <a:lumOff val="35000"/>
                      </a:sysClr>
                    </a:solidFill>
                  </a:rPr>
                  <a:t>Natural Gas Price, $/MMBtu</a:t>
                </a:r>
                <a:endParaRPr lang="en-US" sz="1200" b="1"/>
              </a:p>
            </c:rich>
          </c:tx>
          <c:layout>
            <c:manualLayout>
              <c:xMode val="edge"/>
              <c:yMode val="edge"/>
              <c:x val="0.58013724429529623"/>
              <c:y val="0.55968343592710112"/>
            </c:manualLayout>
          </c:layout>
          <c:overlay val="0"/>
          <c:spPr>
            <a:noFill/>
            <a:ln>
              <a:noFill/>
            </a:ln>
            <a:effectLst/>
          </c:spPr>
          <c:txPr>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sz="1200" b="1" i="0" u="none" strike="noStrike" kern="1200" baseline="0">
                  <a:solidFill>
                    <a:sysClr val="windowText" lastClr="000000">
                      <a:lumMod val="65000"/>
                      <a:lumOff val="35000"/>
                    </a:sysClr>
                  </a:solidFill>
                  <a:latin typeface="+mn-lt"/>
                  <a:ea typeface="+mn-ea"/>
                  <a:cs typeface="+mn-cs"/>
                </a:defRPr>
              </a:pPr>
              <a:endParaRPr lang="en-US"/>
            </a:p>
          </c:txPr>
        </c:title>
        <c:numFmt formatCode="&quot;$&quot;#,##0.0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140297008"/>
        <c:crosses val="autoZero"/>
        <c:crossBetween val="midCat"/>
      </c:valAx>
      <c:valAx>
        <c:axId val="140297008"/>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r>
                  <a:rPr lang="en-US" sz="1200" b="1" i="0" u="none" strike="noStrike" kern="1200" baseline="0">
                    <a:solidFill>
                      <a:sysClr val="windowText" lastClr="000000">
                        <a:lumMod val="65000"/>
                        <a:lumOff val="35000"/>
                      </a:sysClr>
                    </a:solidFill>
                  </a:rPr>
                  <a:t>Electricity Price, $/ MWh </a:t>
                </a:r>
                <a:endParaRPr lang="en-US" sz="1200"/>
              </a:p>
            </c:rich>
          </c:tx>
          <c:overlay val="0"/>
          <c:spPr>
            <a:noFill/>
            <a:ln>
              <a:noFill/>
            </a:ln>
            <a:effectLst/>
          </c:spPr>
          <c:txPr>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itle>
        <c:numFmt formatCode="&quot;$&quot;#,##0.0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140291248"/>
        <c:crosses val="autoZero"/>
        <c:crossBetween val="midCat"/>
      </c:valAx>
      <c:spPr>
        <a:noFill/>
        <a:ln w="25400">
          <a:noFill/>
        </a:ln>
        <a:effectLst/>
      </c:spPr>
    </c:plotArea>
    <c:legend>
      <c:legendPos val="b"/>
      <c:legendEntry>
        <c:idx val="0"/>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Entry>
      <c:layout>
        <c:manualLayout>
          <c:xMode val="edge"/>
          <c:yMode val="edge"/>
          <c:x val="3.1420290928697657E-2"/>
          <c:y val="0.77839208051704945"/>
          <c:w val="0.78577388154640049"/>
          <c:h val="0.2216079240094988"/>
        </c:manualLayout>
      </c:layout>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NOAK</a:t>
            </a:r>
          </a:p>
        </c:rich>
      </c:tx>
      <c:layout>
        <c:manualLayout>
          <c:xMode val="edge"/>
          <c:yMode val="edge"/>
          <c:x val="4.0308379080575218E-2"/>
          <c:y val="0.76543315347809526"/>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9408013119950646"/>
          <c:y val="8.2414113321088125E-2"/>
          <c:w val="0.73957126469074586"/>
          <c:h val="0.63580676913165879"/>
        </c:manualLayout>
      </c:layout>
      <c:scatterChart>
        <c:scatterStyle val="lineMarker"/>
        <c:varyColors val="0"/>
        <c:ser>
          <c:idx val="1"/>
          <c:order val="0"/>
          <c:spPr>
            <a:ln w="25400" cap="rnd">
              <a:noFill/>
              <a:round/>
            </a:ln>
            <a:effectLst/>
          </c:spPr>
          <c:marker>
            <c:symbol val="circle"/>
            <c:size val="5"/>
            <c:spPr>
              <a:solidFill>
                <a:schemeClr val="accent2"/>
              </a:solidFill>
              <a:ln w="9525">
                <a:noFill/>
              </a:ln>
              <a:effectLst/>
            </c:spPr>
          </c:marker>
          <c:trendline>
            <c:spPr>
              <a:ln w="19050" cap="rnd">
                <a:solidFill>
                  <a:schemeClr val="accent2"/>
                </a:solidFill>
                <a:prstDash val="sysDot"/>
              </a:ln>
              <a:effectLst/>
            </c:spPr>
            <c:trendlineType val="power"/>
            <c:dispRSqr val="1"/>
            <c:dispEq val="1"/>
            <c:trendlineLbl>
              <c:layout>
                <c:manualLayout>
                  <c:x val="-6.6914478053021476E-2"/>
                  <c:y val="0.12081726980774292"/>
                </c:manualLayout>
              </c:layout>
              <c:numFmt formatCode="General" sourceLinked="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rendlineLbl>
          </c:trendline>
          <c:xVal>
            <c:numRef>
              <c:f>Correlations!$F$10:$L$10</c:f>
              <c:numCache>
                <c:formatCode>General</c:formatCode>
                <c:ptCount val="7"/>
                <c:pt idx="0">
                  <c:v>25</c:v>
                </c:pt>
                <c:pt idx="1">
                  <c:v>50</c:v>
                </c:pt>
                <c:pt idx="2">
                  <c:v>100</c:v>
                </c:pt>
                <c:pt idx="3">
                  <c:v>200</c:v>
                </c:pt>
                <c:pt idx="4">
                  <c:v>400</c:v>
                </c:pt>
                <c:pt idx="5">
                  <c:v>800</c:v>
                </c:pt>
                <c:pt idx="6">
                  <c:v>1600</c:v>
                </c:pt>
              </c:numCache>
            </c:numRef>
          </c:xVal>
          <c:yVal>
            <c:numRef>
              <c:f>Correlations!$F$13:$L$13</c:f>
              <c:numCache>
                <c:formatCode>"$"#,##0</c:formatCode>
                <c:ptCount val="7"/>
                <c:pt idx="0">
                  <c:v>1259.7681175535331</c:v>
                </c:pt>
                <c:pt idx="1">
                  <c:v>1104.8639066600886</c:v>
                </c:pt>
                <c:pt idx="2">
                  <c:v>1005.6053164415533</c:v>
                </c:pt>
                <c:pt idx="3">
                  <c:v>940.37990006947064</c:v>
                </c:pt>
                <c:pt idx="4">
                  <c:v>896.57605171250259</c:v>
                </c:pt>
                <c:pt idx="5">
                  <c:v>866.61746378354985</c:v>
                </c:pt>
                <c:pt idx="6">
                  <c:v>845.81899604795603</c:v>
                </c:pt>
              </c:numCache>
            </c:numRef>
          </c:yVal>
          <c:smooth val="0"/>
          <c:extLst>
            <c:ext xmlns:c16="http://schemas.microsoft.com/office/drawing/2014/chart" uri="{C3380CC4-5D6E-409C-BE32-E72D297353CC}">
              <c16:uniqueId val="{00000001-9ABE-4827-AFCA-4364B31C4545}"/>
            </c:ext>
          </c:extLst>
        </c:ser>
        <c:dLbls>
          <c:showLegendKey val="0"/>
          <c:showVal val="0"/>
          <c:showCatName val="0"/>
          <c:showSerName val="0"/>
          <c:showPercent val="0"/>
          <c:showBubbleSize val="0"/>
        </c:dLbls>
        <c:axId val="610677151"/>
        <c:axId val="1110006751"/>
      </c:scatterChart>
      <c:valAx>
        <c:axId val="610677151"/>
        <c:scaling>
          <c:logBase val="10"/>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Total Plant Capacity</a:t>
                </a:r>
                <a:r>
                  <a:rPr lang="en-US" baseline="0"/>
                  <a:t> (MW-dc)</a:t>
                </a:r>
                <a:endParaRPr lang="en-US"/>
              </a:p>
            </c:rich>
          </c:tx>
          <c:layout>
            <c:manualLayout>
              <c:xMode val="edge"/>
              <c:yMode val="edge"/>
              <c:x val="0.71521203413717271"/>
              <c:y val="0.87085040627142674"/>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10006751"/>
        <c:crosses val="autoZero"/>
        <c:crossBetween val="midCat"/>
      </c:valAx>
      <c:valAx>
        <c:axId val="1110006751"/>
        <c:scaling>
          <c:logBase val="10"/>
          <c:orientation val="minMax"/>
          <c:min val="10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DCC, $/KW-dc</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quot;$&quot;#,##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0677151"/>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12.xml.rels><?xml version="1.0" encoding="UTF-8" standalone="yes"?>
<Relationships xmlns="http://schemas.openxmlformats.org/package/2006/relationships"><Relationship Id="rId3" Type="http://schemas.openxmlformats.org/officeDocument/2006/relationships/chart" Target="../charts/chart10.xml"/><Relationship Id="rId2" Type="http://schemas.openxmlformats.org/officeDocument/2006/relationships/chart" Target="../charts/chart9.xml"/><Relationship Id="rId1" Type="http://schemas.openxmlformats.org/officeDocument/2006/relationships/chart" Target="../charts/chart8.xml"/><Relationship Id="rId5" Type="http://schemas.openxmlformats.org/officeDocument/2006/relationships/chart" Target="../charts/chart12.xml"/><Relationship Id="rId4" Type="http://schemas.openxmlformats.org/officeDocument/2006/relationships/chart" Target="../charts/chart11.xml"/></Relationships>
</file>

<file path=xl/drawings/drawing1.xml><?xml version="1.0" encoding="utf-8"?>
<xdr:wsDr xmlns:xdr="http://schemas.openxmlformats.org/drawingml/2006/spreadsheetDrawing" xmlns:a="http://schemas.openxmlformats.org/drawingml/2006/main">
  <xdr:twoCellAnchor>
    <xdr:from>
      <xdr:col>9</xdr:col>
      <xdr:colOff>326892</xdr:colOff>
      <xdr:row>69</xdr:row>
      <xdr:rowOff>111354</xdr:rowOff>
    </xdr:from>
    <xdr:to>
      <xdr:col>25</xdr:col>
      <xdr:colOff>540252</xdr:colOff>
      <xdr:row>81</xdr:row>
      <xdr:rowOff>141834</xdr:rowOff>
    </xdr:to>
    <xdr:graphicFrame macro="">
      <xdr:nvGraphicFramePr>
        <xdr:cNvPr id="8" name="Chart 7">
          <a:extLst>
            <a:ext uri="{FF2B5EF4-FFF2-40B4-BE49-F238E27FC236}">
              <a16:creationId xmlns:a16="http://schemas.microsoft.com/office/drawing/2014/main" id="{52B5C165-58C9-43A6-BEAB-A8C59F10EC0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22</xdr:col>
      <xdr:colOff>261256</xdr:colOff>
      <xdr:row>31</xdr:row>
      <xdr:rowOff>92530</xdr:rowOff>
    </xdr:from>
    <xdr:to>
      <xdr:col>25</xdr:col>
      <xdr:colOff>217713</xdr:colOff>
      <xdr:row>37</xdr:row>
      <xdr:rowOff>0</xdr:rowOff>
    </xdr:to>
    <xdr:sp macro="[0]!runSA_LCOH" textlink="">
      <xdr:nvSpPr>
        <xdr:cNvPr id="6" name="Rectangle: Rounded Corners 5">
          <a:extLst>
            <a:ext uri="{FF2B5EF4-FFF2-40B4-BE49-F238E27FC236}">
              <a16:creationId xmlns:a16="http://schemas.microsoft.com/office/drawing/2014/main" id="{00000000-0008-0000-0900-000006000000}"/>
            </a:ext>
          </a:extLst>
        </xdr:cNvPr>
        <xdr:cNvSpPr/>
      </xdr:nvSpPr>
      <xdr:spPr>
        <a:xfrm>
          <a:off x="11713027" y="7783287"/>
          <a:ext cx="1524000" cy="1632856"/>
        </a:xfrm>
        <a:prstGeom prst="roundRect">
          <a:avLst/>
        </a:prstGeom>
        <a:solidFill>
          <a:srgbClr val="00206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b="1" u="sng">
              <a:solidFill>
                <a:schemeClr val="bg1"/>
              </a:solidFill>
            </a:rPr>
            <a:t>CLICK: Run Sensitivity</a:t>
          </a:r>
          <a:r>
            <a:rPr lang="en-US" sz="1600" b="1" u="sng" baseline="0">
              <a:solidFill>
                <a:schemeClr val="bg1"/>
              </a:solidFill>
            </a:rPr>
            <a:t> Analysis</a:t>
          </a:r>
          <a:r>
            <a:rPr lang="en-US" sz="1600" b="1" u="sng">
              <a:solidFill>
                <a:schemeClr val="bg1"/>
              </a:solidFill>
            </a:rPr>
            <a:t> for LCOH and NPV</a:t>
          </a:r>
        </a:p>
      </xdr:txBody>
    </xdr:sp>
    <xdr:clientData/>
  </xdr:twoCellAnchor>
  <xdr:twoCellAnchor>
    <xdr:from>
      <xdr:col>1</xdr:col>
      <xdr:colOff>56357</xdr:colOff>
      <xdr:row>69</xdr:row>
      <xdr:rowOff>62778</xdr:rowOff>
    </xdr:from>
    <xdr:to>
      <xdr:col>9</xdr:col>
      <xdr:colOff>234043</xdr:colOff>
      <xdr:row>72</xdr:row>
      <xdr:rowOff>34891</xdr:rowOff>
    </xdr:to>
    <xdr:sp macro="[0]!run_NPV_LMP" textlink="">
      <xdr:nvSpPr>
        <xdr:cNvPr id="11" name="Rectangle: Rounded Corners 10">
          <a:extLst>
            <a:ext uri="{FF2B5EF4-FFF2-40B4-BE49-F238E27FC236}">
              <a16:creationId xmlns:a16="http://schemas.microsoft.com/office/drawing/2014/main" id="{00000000-0008-0000-0900-00000B000000}"/>
            </a:ext>
          </a:extLst>
        </xdr:cNvPr>
        <xdr:cNvSpPr/>
      </xdr:nvSpPr>
      <xdr:spPr>
        <a:xfrm>
          <a:off x="1458939" y="21917943"/>
          <a:ext cx="4755269" cy="662936"/>
        </a:xfrm>
        <a:prstGeom prst="roundRect">
          <a:avLst/>
        </a:prstGeom>
        <a:solidFill>
          <a:srgbClr val="00206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sng">
              <a:solidFill>
                <a:schemeClr val="bg1"/>
              </a:solidFill>
            </a:rPr>
            <a:t>CLICK:</a:t>
          </a:r>
          <a:r>
            <a:rPr lang="en-US" sz="2000" b="1" u="sng" baseline="0">
              <a:solidFill>
                <a:schemeClr val="bg1"/>
              </a:solidFill>
            </a:rPr>
            <a:t> </a:t>
          </a:r>
          <a:r>
            <a:rPr lang="en-US" sz="2000" b="1" u="sng">
              <a:solidFill>
                <a:schemeClr val="bg1"/>
              </a:solidFill>
            </a:rPr>
            <a:t>Update</a:t>
          </a:r>
          <a:r>
            <a:rPr lang="en-US" sz="2000" b="1" u="sng" baseline="0">
              <a:solidFill>
                <a:schemeClr val="bg1"/>
              </a:solidFill>
            </a:rPr>
            <a:t> Preference Analysis</a:t>
          </a:r>
          <a:endParaRPr lang="en-US" sz="2000" b="1" u="sng">
            <a:solidFill>
              <a:schemeClr val="bg1"/>
            </a:solidFill>
          </a:endParaRPr>
        </a:p>
      </xdr:txBody>
    </xdr:sp>
    <xdr:clientData/>
  </xdr:twoCellAnchor>
  <xdr:twoCellAnchor>
    <xdr:from>
      <xdr:col>1</xdr:col>
      <xdr:colOff>1400</xdr:colOff>
      <xdr:row>38</xdr:row>
      <xdr:rowOff>26670</xdr:rowOff>
    </xdr:from>
    <xdr:to>
      <xdr:col>13</xdr:col>
      <xdr:colOff>230000</xdr:colOff>
      <xdr:row>44</xdr:row>
      <xdr:rowOff>586740</xdr:rowOff>
    </xdr:to>
    <xdr:graphicFrame macro="">
      <xdr:nvGraphicFramePr>
        <xdr:cNvPr id="20" name="Chart 19">
          <a:extLst>
            <a:ext uri="{FF2B5EF4-FFF2-40B4-BE49-F238E27FC236}">
              <a16:creationId xmlns:a16="http://schemas.microsoft.com/office/drawing/2014/main" id="{00000000-0008-0000-09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13</xdr:col>
      <xdr:colOff>274589</xdr:colOff>
      <xdr:row>38</xdr:row>
      <xdr:rowOff>30479</xdr:rowOff>
    </xdr:from>
    <xdr:to>
      <xdr:col>25</xdr:col>
      <xdr:colOff>514619</xdr:colOff>
      <xdr:row>44</xdr:row>
      <xdr:rowOff>579119</xdr:rowOff>
    </xdr:to>
    <xdr:graphicFrame macro="">
      <xdr:nvGraphicFramePr>
        <xdr:cNvPr id="27" name="Chart 26">
          <a:extLst>
            <a:ext uri="{FF2B5EF4-FFF2-40B4-BE49-F238E27FC236}">
              <a16:creationId xmlns:a16="http://schemas.microsoft.com/office/drawing/2014/main" id="{00000000-0008-0000-09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8</xdr:col>
      <xdr:colOff>458754</xdr:colOff>
      <xdr:row>10</xdr:row>
      <xdr:rowOff>40163</xdr:rowOff>
    </xdr:from>
    <xdr:to>
      <xdr:col>25</xdr:col>
      <xdr:colOff>569945</xdr:colOff>
      <xdr:row>18</xdr:row>
      <xdr:rowOff>367392</xdr:rowOff>
    </xdr:to>
    <xdr:graphicFrame macro="">
      <xdr:nvGraphicFramePr>
        <xdr:cNvPr id="4" name="Chart 3">
          <a:extLst>
            <a:ext uri="{FF2B5EF4-FFF2-40B4-BE49-F238E27FC236}">
              <a16:creationId xmlns:a16="http://schemas.microsoft.com/office/drawing/2014/main" id="{E647BB32-D68F-409A-AF02-FACC2791D5A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13</xdr:col>
      <xdr:colOff>93634</xdr:colOff>
      <xdr:row>86</xdr:row>
      <xdr:rowOff>110594</xdr:rowOff>
    </xdr:from>
    <xdr:to>
      <xdr:col>25</xdr:col>
      <xdr:colOff>291391</xdr:colOff>
      <xdr:row>105</xdr:row>
      <xdr:rowOff>184499</xdr:rowOff>
    </xdr:to>
    <xdr:graphicFrame macro="">
      <xdr:nvGraphicFramePr>
        <xdr:cNvPr id="7" name="Chart 6">
          <a:extLst>
            <a:ext uri="{FF2B5EF4-FFF2-40B4-BE49-F238E27FC236}">
              <a16:creationId xmlns:a16="http://schemas.microsoft.com/office/drawing/2014/main" id="{D1B26660-A2C8-4DEA-8E57-2863D9E32DC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xdr:col>
      <xdr:colOff>40279</xdr:colOff>
      <xdr:row>83</xdr:row>
      <xdr:rowOff>218684</xdr:rowOff>
    </xdr:from>
    <xdr:to>
      <xdr:col>8</xdr:col>
      <xdr:colOff>441476</xdr:colOff>
      <xdr:row>85</xdr:row>
      <xdr:rowOff>131717</xdr:rowOff>
    </xdr:to>
    <xdr:sp macro="[0]!LCOH_SMR_HTSE" textlink="">
      <xdr:nvSpPr>
        <xdr:cNvPr id="13" name="Rectangle: Rounded Corners 12">
          <a:extLst>
            <a:ext uri="{FF2B5EF4-FFF2-40B4-BE49-F238E27FC236}">
              <a16:creationId xmlns:a16="http://schemas.microsoft.com/office/drawing/2014/main" id="{1EB20530-0C26-4DC5-8AF9-2F22B1BF802E}"/>
            </a:ext>
          </a:extLst>
        </xdr:cNvPr>
        <xdr:cNvSpPr/>
      </xdr:nvSpPr>
      <xdr:spPr>
        <a:xfrm>
          <a:off x="239850" y="23338732"/>
          <a:ext cx="4422864" cy="372652"/>
        </a:xfrm>
        <a:prstGeom prst="roundRect">
          <a:avLst/>
        </a:prstGeom>
        <a:solidFill>
          <a:srgbClr val="00206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sng">
              <a:solidFill>
                <a:schemeClr val="bg1"/>
              </a:solidFill>
            </a:rPr>
            <a:t>CLICK:</a:t>
          </a:r>
          <a:r>
            <a:rPr lang="en-US" sz="2000" b="1" u="sng" baseline="0">
              <a:solidFill>
                <a:schemeClr val="bg1"/>
              </a:solidFill>
            </a:rPr>
            <a:t> </a:t>
          </a:r>
          <a:r>
            <a:rPr lang="en-US" sz="2000" b="1" u="sng">
              <a:solidFill>
                <a:schemeClr val="bg1"/>
              </a:solidFill>
            </a:rPr>
            <a:t>Update</a:t>
          </a:r>
          <a:r>
            <a:rPr lang="en-US" sz="2000" b="1" u="sng" baseline="0">
              <a:solidFill>
                <a:schemeClr val="bg1"/>
              </a:solidFill>
            </a:rPr>
            <a:t> Competitive Analysis </a:t>
          </a:r>
          <a:endParaRPr lang="en-US" sz="2000" b="1" u="sng">
            <a:solidFill>
              <a:schemeClr val="bg1"/>
            </a:solidFill>
          </a:endParaRPr>
        </a:p>
      </xdr:txBody>
    </xdr:sp>
    <xdr:clientData/>
  </xdr:twoCellAnchor>
  <xdr:twoCellAnchor>
    <xdr:from>
      <xdr:col>22</xdr:col>
      <xdr:colOff>417285</xdr:colOff>
      <xdr:row>46</xdr:row>
      <xdr:rowOff>93879</xdr:rowOff>
    </xdr:from>
    <xdr:to>
      <xdr:col>25</xdr:col>
      <xdr:colOff>547912</xdr:colOff>
      <xdr:row>48</xdr:row>
      <xdr:rowOff>371929</xdr:rowOff>
    </xdr:to>
    <xdr:sp macro="[0]!run_SA_two_variable" textlink="">
      <xdr:nvSpPr>
        <xdr:cNvPr id="2" name="Rectangle 1">
          <a:extLst>
            <a:ext uri="{FF2B5EF4-FFF2-40B4-BE49-F238E27FC236}">
              <a16:creationId xmlns:a16="http://schemas.microsoft.com/office/drawing/2014/main" id="{B09EE0EE-3E6F-C95C-F635-85C0096AC383}"/>
            </a:ext>
          </a:extLst>
        </xdr:cNvPr>
        <xdr:cNvSpPr/>
      </xdr:nvSpPr>
      <xdr:spPr>
        <a:xfrm>
          <a:off x="13824856" y="14735165"/>
          <a:ext cx="1845127" cy="903978"/>
        </a:xfrm>
        <a:prstGeom prst="rect">
          <a:avLst/>
        </a:prstGeom>
        <a:solidFill>
          <a:srgbClr val="00206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ctr"/>
          <a:r>
            <a:rPr lang="en-US" sz="2000" b="1" u="sng">
              <a:solidFill>
                <a:schemeClr val="lt1"/>
              </a:solidFill>
              <a:latin typeface="+mn-lt"/>
              <a:ea typeface="+mn-ea"/>
              <a:cs typeface="+mn-cs"/>
            </a:rPr>
            <a:t>CLICK: Update</a:t>
          </a:r>
          <a:r>
            <a:rPr lang="en-US" sz="2000" b="1" u="sng" baseline="0">
              <a:solidFill>
                <a:schemeClr val="lt1"/>
              </a:solidFill>
              <a:latin typeface="+mn-lt"/>
              <a:ea typeface="+mn-ea"/>
              <a:cs typeface="+mn-cs"/>
            </a:rPr>
            <a:t> Heat Maps </a:t>
          </a:r>
          <a:endParaRPr lang="en-US" sz="2000" b="1" u="sng">
            <a:solidFill>
              <a:schemeClr val="lt1"/>
            </a:solidFill>
            <a:latin typeface="+mn-lt"/>
            <a:ea typeface="+mn-ea"/>
            <a:cs typeface="+mn-cs"/>
          </a:endParaRPr>
        </a:p>
      </xdr:txBody>
    </xdr:sp>
    <xdr:clientData/>
  </xdr:twoCellAnchor>
  <xdr:twoCellAnchor>
    <xdr:from>
      <xdr:col>1</xdr:col>
      <xdr:colOff>5444</xdr:colOff>
      <xdr:row>29</xdr:row>
      <xdr:rowOff>0</xdr:rowOff>
    </xdr:from>
    <xdr:to>
      <xdr:col>9</xdr:col>
      <xdr:colOff>224118</xdr:colOff>
      <xdr:row>30</xdr:row>
      <xdr:rowOff>5443</xdr:rowOff>
    </xdr:to>
    <xdr:sp macro="[0]!Input_Click_Add_SA" textlink="">
      <xdr:nvSpPr>
        <xdr:cNvPr id="3" name="Rectangle 2">
          <a:extLst>
            <a:ext uri="{FF2B5EF4-FFF2-40B4-BE49-F238E27FC236}">
              <a16:creationId xmlns:a16="http://schemas.microsoft.com/office/drawing/2014/main" id="{34588107-093C-405C-AF2D-5E426AE2B71E}"/>
            </a:ext>
          </a:extLst>
        </xdr:cNvPr>
        <xdr:cNvSpPr/>
      </xdr:nvSpPr>
      <xdr:spPr>
        <a:xfrm>
          <a:off x="1298923" y="8977513"/>
          <a:ext cx="4841901" cy="344821"/>
        </a:xfrm>
        <a:prstGeom prst="rect">
          <a:avLst/>
        </a:prstGeom>
        <a:solidFill>
          <a:srgbClr val="7030A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600" b="1" u="sng"/>
            <a:t>CLICK:</a:t>
          </a:r>
          <a:r>
            <a:rPr lang="en-US" sz="1600" b="1" u="sng" baseline="0"/>
            <a:t> </a:t>
          </a:r>
          <a:r>
            <a:rPr lang="en-US" sz="1600" b="1" u="sng"/>
            <a:t>Additional  Information for Sensitivity Analysis</a:t>
          </a:r>
        </a:p>
      </xdr:txBody>
    </xdr:sp>
    <xdr:clientData/>
  </xdr:twoCellAnchor>
  <xdr:twoCellAnchor>
    <xdr:from>
      <xdr:col>0</xdr:col>
      <xdr:colOff>1235849</xdr:colOff>
      <xdr:row>106</xdr:row>
      <xdr:rowOff>2781</xdr:rowOff>
    </xdr:from>
    <xdr:to>
      <xdr:col>12</xdr:col>
      <xdr:colOff>405311</xdr:colOff>
      <xdr:row>108</xdr:row>
      <xdr:rowOff>37856</xdr:rowOff>
    </xdr:to>
    <xdr:sp macro="[0]!Input_Click_Correlations_T" textlink="">
      <xdr:nvSpPr>
        <xdr:cNvPr id="9" name="Rectangle 8">
          <a:extLst>
            <a:ext uri="{FF2B5EF4-FFF2-40B4-BE49-F238E27FC236}">
              <a16:creationId xmlns:a16="http://schemas.microsoft.com/office/drawing/2014/main" id="{9FA129CF-D363-4DF2-B545-441ED4C1B7BE}"/>
            </a:ext>
          </a:extLst>
        </xdr:cNvPr>
        <xdr:cNvSpPr/>
      </xdr:nvSpPr>
      <xdr:spPr>
        <a:xfrm>
          <a:off x="1235849" y="30303487"/>
          <a:ext cx="6687008" cy="419276"/>
        </a:xfrm>
        <a:prstGeom prst="rect">
          <a:avLst/>
        </a:prstGeom>
        <a:solidFill>
          <a:srgbClr val="7030A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2000" b="1" u="sng"/>
            <a:t>CLICK:</a:t>
          </a:r>
          <a:r>
            <a:rPr lang="en-US" sz="2000" b="1" u="sng" baseline="0"/>
            <a:t> </a:t>
          </a:r>
          <a:r>
            <a:rPr lang="en-US" sz="2000" b="1" u="sng"/>
            <a:t>Additional  Information for Competitive Analysis </a:t>
          </a:r>
        </a:p>
      </xdr:txBody>
    </xdr:sp>
    <xdr:clientData/>
  </xdr:twoCellAnchor>
  <xdr:twoCellAnchor>
    <xdr:from>
      <xdr:col>0</xdr:col>
      <xdr:colOff>129267</xdr:colOff>
      <xdr:row>14</xdr:row>
      <xdr:rowOff>40823</xdr:rowOff>
    </xdr:from>
    <xdr:to>
      <xdr:col>0</xdr:col>
      <xdr:colOff>1347106</xdr:colOff>
      <xdr:row>14</xdr:row>
      <xdr:rowOff>340179</xdr:rowOff>
    </xdr:to>
    <xdr:sp macro="[0]!Input_Click_LCOH_T" textlink="">
      <xdr:nvSpPr>
        <xdr:cNvPr id="10" name="Rectangle 9">
          <a:extLst>
            <a:ext uri="{FF2B5EF4-FFF2-40B4-BE49-F238E27FC236}">
              <a16:creationId xmlns:a16="http://schemas.microsoft.com/office/drawing/2014/main" id="{EB076017-E2C7-4F26-99BF-2F01A322586E}"/>
            </a:ext>
          </a:extLst>
        </xdr:cNvPr>
        <xdr:cNvSpPr/>
      </xdr:nvSpPr>
      <xdr:spPr>
        <a:xfrm>
          <a:off x="129267" y="4184198"/>
          <a:ext cx="1217839" cy="299356"/>
        </a:xfrm>
        <a:prstGeom prst="rect">
          <a:avLst/>
        </a:prstGeom>
        <a:solidFill>
          <a:srgbClr val="7030A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200" b="1" u="sng"/>
            <a:t>LCOH ($ 2022)</a:t>
          </a:r>
        </a:p>
      </xdr:txBody>
    </xdr:sp>
    <xdr:clientData/>
  </xdr:twoCellAnchor>
  <xdr:twoCellAnchor>
    <xdr:from>
      <xdr:col>0</xdr:col>
      <xdr:colOff>27214</xdr:colOff>
      <xdr:row>18</xdr:row>
      <xdr:rowOff>47627</xdr:rowOff>
    </xdr:from>
    <xdr:to>
      <xdr:col>0</xdr:col>
      <xdr:colOff>1353910</xdr:colOff>
      <xdr:row>18</xdr:row>
      <xdr:rowOff>353787</xdr:rowOff>
    </xdr:to>
    <xdr:sp macro="[0]!Input_Click_NPV_T" textlink="">
      <xdr:nvSpPr>
        <xdr:cNvPr id="14" name="Rectangle 13">
          <a:extLst>
            <a:ext uri="{FF2B5EF4-FFF2-40B4-BE49-F238E27FC236}">
              <a16:creationId xmlns:a16="http://schemas.microsoft.com/office/drawing/2014/main" id="{78292CA4-ADF9-4DEF-9BD1-85DAD318E039}"/>
            </a:ext>
          </a:extLst>
        </xdr:cNvPr>
        <xdr:cNvSpPr/>
      </xdr:nvSpPr>
      <xdr:spPr>
        <a:xfrm>
          <a:off x="27214" y="5470073"/>
          <a:ext cx="1326696" cy="306160"/>
        </a:xfrm>
        <a:prstGeom prst="rect">
          <a:avLst/>
        </a:prstGeom>
        <a:solidFill>
          <a:srgbClr val="7030A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200" b="1" u="sng"/>
            <a:t>NPVH2 ($ Million)</a:t>
          </a:r>
        </a:p>
      </xdr:txBody>
    </xdr:sp>
    <xdr:clientData/>
  </xdr:twoCellAnchor>
  <xdr:twoCellAnchor>
    <xdr:from>
      <xdr:col>0</xdr:col>
      <xdr:colOff>1385555</xdr:colOff>
      <xdr:row>80</xdr:row>
      <xdr:rowOff>150203</xdr:rowOff>
    </xdr:from>
    <xdr:to>
      <xdr:col>9</xdr:col>
      <xdr:colOff>127662</xdr:colOff>
      <xdr:row>81</xdr:row>
      <xdr:rowOff>216318</xdr:rowOff>
    </xdr:to>
    <xdr:sp macro="[0]!Input_Click_Preference_Analysis_T" textlink="">
      <xdr:nvSpPr>
        <xdr:cNvPr id="15" name="Rectangle 14">
          <a:extLst>
            <a:ext uri="{FF2B5EF4-FFF2-40B4-BE49-F238E27FC236}">
              <a16:creationId xmlns:a16="http://schemas.microsoft.com/office/drawing/2014/main" id="{746B9270-6530-4ECD-874B-21BAB2C83ADD}"/>
            </a:ext>
          </a:extLst>
        </xdr:cNvPr>
        <xdr:cNvSpPr/>
      </xdr:nvSpPr>
      <xdr:spPr>
        <a:xfrm>
          <a:off x="1385555" y="25613006"/>
          <a:ext cx="4722272" cy="449906"/>
        </a:xfrm>
        <a:prstGeom prst="rect">
          <a:avLst/>
        </a:prstGeom>
        <a:solidFill>
          <a:srgbClr val="7030A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2000" b="1" u="sng"/>
            <a:t>CLICK:</a:t>
          </a:r>
          <a:r>
            <a:rPr lang="en-US" sz="2000" b="1" u="sng" baseline="0"/>
            <a:t> </a:t>
          </a:r>
          <a:r>
            <a:rPr lang="en-US" sz="2000" b="1" u="sng"/>
            <a:t>Details for Preference Analysis</a:t>
          </a:r>
        </a:p>
      </xdr:txBody>
    </xdr:sp>
    <xdr:clientData/>
  </xdr:twoCellAnchor>
  <xdr:twoCellAnchor>
    <xdr:from>
      <xdr:col>0</xdr:col>
      <xdr:colOff>1295539</xdr:colOff>
      <xdr:row>86</xdr:row>
      <xdr:rowOff>113137</xdr:rowOff>
    </xdr:from>
    <xdr:to>
      <xdr:col>13</xdr:col>
      <xdr:colOff>27567</xdr:colOff>
      <xdr:row>105</xdr:row>
      <xdr:rowOff>185707</xdr:rowOff>
    </xdr:to>
    <xdr:graphicFrame macro="[0]!Chart16_Click">
      <xdr:nvGraphicFramePr>
        <xdr:cNvPr id="17" name="Chart 16">
          <a:extLst>
            <a:ext uri="{FF2B5EF4-FFF2-40B4-BE49-F238E27FC236}">
              <a16:creationId xmlns:a16="http://schemas.microsoft.com/office/drawing/2014/main" id="{F52D168E-BD5D-4DBE-B2FB-AA1963D1D0E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8</xdr:col>
      <xdr:colOff>459727</xdr:colOff>
      <xdr:row>19</xdr:row>
      <xdr:rowOff>40822</xdr:rowOff>
    </xdr:from>
    <xdr:to>
      <xdr:col>25</xdr:col>
      <xdr:colOff>560093</xdr:colOff>
      <xdr:row>27</xdr:row>
      <xdr:rowOff>54428</xdr:rowOff>
    </xdr:to>
    <xdr:graphicFrame macro="">
      <xdr:nvGraphicFramePr>
        <xdr:cNvPr id="16" name="Chart 15">
          <a:extLst>
            <a:ext uri="{FF2B5EF4-FFF2-40B4-BE49-F238E27FC236}">
              <a16:creationId xmlns:a16="http://schemas.microsoft.com/office/drawing/2014/main" id="{8444B0D7-495A-4B8D-A430-91A34D10F6F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xdr:col>
      <xdr:colOff>12806</xdr:colOff>
      <xdr:row>13</xdr:row>
      <xdr:rowOff>34900</xdr:rowOff>
    </xdr:from>
    <xdr:to>
      <xdr:col>3</xdr:col>
      <xdr:colOff>557092</xdr:colOff>
      <xdr:row>13</xdr:row>
      <xdr:rowOff>473850</xdr:rowOff>
    </xdr:to>
    <xdr:sp macro="[0]!run_breakeven_H2_only_no_PTC" textlink="">
      <xdr:nvSpPr>
        <xdr:cNvPr id="12" name="Rectangle: Rounded Corners 11">
          <a:extLst>
            <a:ext uri="{FF2B5EF4-FFF2-40B4-BE49-F238E27FC236}">
              <a16:creationId xmlns:a16="http://schemas.microsoft.com/office/drawing/2014/main" id="{FDA6E518-51E3-4DEC-B30F-81AECF990B97}"/>
            </a:ext>
          </a:extLst>
        </xdr:cNvPr>
        <xdr:cNvSpPr/>
      </xdr:nvSpPr>
      <xdr:spPr>
        <a:xfrm>
          <a:off x="1261461" y="3691219"/>
          <a:ext cx="1684085" cy="438950"/>
        </a:xfrm>
        <a:prstGeom prst="roundRect">
          <a:avLst/>
        </a:prstGeom>
        <a:solidFill>
          <a:srgbClr val="00206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u="sng">
              <a:solidFill>
                <a:schemeClr val="bg1"/>
              </a:solidFill>
            </a:rPr>
            <a:t>CLICK:</a:t>
          </a:r>
          <a:r>
            <a:rPr lang="en-US" sz="1200" b="1" u="sng" baseline="0">
              <a:solidFill>
                <a:schemeClr val="bg1"/>
              </a:solidFill>
            </a:rPr>
            <a:t> </a:t>
          </a:r>
          <a:r>
            <a:rPr lang="en-US" sz="1200" b="1" u="sng">
              <a:solidFill>
                <a:schemeClr val="bg1"/>
              </a:solidFill>
            </a:rPr>
            <a:t>Find Breakeven </a:t>
          </a:r>
        </a:p>
      </xdr:txBody>
    </xdr:sp>
    <xdr:clientData/>
  </xdr:twoCellAnchor>
  <xdr:twoCellAnchor>
    <xdr:from>
      <xdr:col>5</xdr:col>
      <xdr:colOff>25614</xdr:colOff>
      <xdr:row>13</xdr:row>
      <xdr:rowOff>38421</xdr:rowOff>
    </xdr:from>
    <xdr:to>
      <xdr:col>8</xdr:col>
      <xdr:colOff>2</xdr:colOff>
      <xdr:row>13</xdr:row>
      <xdr:rowOff>477371</xdr:rowOff>
    </xdr:to>
    <xdr:sp macro="[0]!run_breakeven_H2_only_with_PTC" textlink="">
      <xdr:nvSpPr>
        <xdr:cNvPr id="18" name="Rectangle: Rounded Corners 17">
          <a:extLst>
            <a:ext uri="{FF2B5EF4-FFF2-40B4-BE49-F238E27FC236}">
              <a16:creationId xmlns:a16="http://schemas.microsoft.com/office/drawing/2014/main" id="{E2B28ED1-13DA-42F1-AD44-76DB13081C1E}"/>
            </a:ext>
          </a:extLst>
        </xdr:cNvPr>
        <xdr:cNvSpPr/>
      </xdr:nvSpPr>
      <xdr:spPr>
        <a:xfrm>
          <a:off x="3553866" y="3694740"/>
          <a:ext cx="1684085" cy="438950"/>
        </a:xfrm>
        <a:prstGeom prst="roundRect">
          <a:avLst/>
        </a:prstGeom>
        <a:solidFill>
          <a:srgbClr val="00206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u="sng">
              <a:solidFill>
                <a:schemeClr val="bg1"/>
              </a:solidFill>
            </a:rPr>
            <a:t>CLICK:</a:t>
          </a:r>
          <a:r>
            <a:rPr lang="en-US" sz="1200" b="1" u="sng" baseline="0">
              <a:solidFill>
                <a:schemeClr val="bg1"/>
              </a:solidFill>
            </a:rPr>
            <a:t> </a:t>
          </a:r>
          <a:r>
            <a:rPr lang="en-US" sz="1200" b="1" u="sng">
              <a:solidFill>
                <a:schemeClr val="bg1"/>
              </a:solidFill>
            </a:rPr>
            <a:t>Find Breakeven </a:t>
          </a:r>
        </a:p>
      </xdr:txBody>
    </xdr:sp>
    <xdr:clientData/>
  </xdr:twoCellAnchor>
  <xdr:twoCellAnchor>
    <xdr:from>
      <xdr:col>19</xdr:col>
      <xdr:colOff>97669</xdr:colOff>
      <xdr:row>83</xdr:row>
      <xdr:rowOff>9071</xdr:rowOff>
    </xdr:from>
    <xdr:to>
      <xdr:col>26</xdr:col>
      <xdr:colOff>0</xdr:colOff>
      <xdr:row>85</xdr:row>
      <xdr:rowOff>238810</xdr:rowOff>
    </xdr:to>
    <xdr:sp macro="[0]!Input_Click_T" textlink="">
      <xdr:nvSpPr>
        <xdr:cNvPr id="19" name="Rectangle 18">
          <a:extLst>
            <a:ext uri="{FF2B5EF4-FFF2-40B4-BE49-F238E27FC236}">
              <a16:creationId xmlns:a16="http://schemas.microsoft.com/office/drawing/2014/main" id="{AB0D7507-6561-4A76-A8C1-797FA78D16A2}"/>
            </a:ext>
          </a:extLst>
        </xdr:cNvPr>
        <xdr:cNvSpPr/>
      </xdr:nvSpPr>
      <xdr:spPr>
        <a:xfrm>
          <a:off x="11790740" y="25336500"/>
          <a:ext cx="3902831" cy="719596"/>
        </a:xfrm>
        <a:prstGeom prst="rect">
          <a:avLst/>
        </a:prstGeom>
        <a:solidFill>
          <a:srgbClr val="7030A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sng"/>
            <a:t>Define</a:t>
          </a:r>
          <a:r>
            <a:rPr lang="en-US" sz="2000" b="1" u="sng" baseline="0"/>
            <a:t> User-specific electricity and Natural Gas price</a:t>
          </a:r>
          <a:endParaRPr lang="en-US" sz="2000" b="1" u="sng"/>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6</xdr:col>
      <xdr:colOff>70758</xdr:colOff>
      <xdr:row>0</xdr:row>
      <xdr:rowOff>136071</xdr:rowOff>
    </xdr:from>
    <xdr:to>
      <xdr:col>6</xdr:col>
      <xdr:colOff>1480457</xdr:colOff>
      <xdr:row>0</xdr:row>
      <xdr:rowOff>435428</xdr:rowOff>
    </xdr:to>
    <xdr:sp macro="[0]!RectangleRounded_data_validation_Input_default" textlink="">
      <xdr:nvSpPr>
        <xdr:cNvPr id="2" name="Rectangle: Rounded Corners 1">
          <a:extLst>
            <a:ext uri="{FF2B5EF4-FFF2-40B4-BE49-F238E27FC236}">
              <a16:creationId xmlns:a16="http://schemas.microsoft.com/office/drawing/2014/main" id="{00000000-0008-0000-0400-000002000000}"/>
            </a:ext>
          </a:extLst>
        </xdr:cNvPr>
        <xdr:cNvSpPr/>
      </xdr:nvSpPr>
      <xdr:spPr>
        <a:xfrm>
          <a:off x="5154387" y="136071"/>
          <a:ext cx="1409699" cy="299357"/>
        </a:xfrm>
        <a:prstGeom prst="roundRect">
          <a:avLst/>
        </a:prstGeom>
        <a:solidFill>
          <a:srgbClr val="99CC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solidFill>
                <a:schemeClr val="tx1"/>
              </a:solidFill>
            </a:rPr>
            <a:t>Data Validation VBA</a:t>
          </a:r>
        </a:p>
      </xdr:txBody>
    </xdr:sp>
    <xdr:clientData/>
  </xdr:twoCellAnchor>
  <xdr:twoCellAnchor>
    <xdr:from>
      <xdr:col>1</xdr:col>
      <xdr:colOff>87085</xdr:colOff>
      <xdr:row>0</xdr:row>
      <xdr:rowOff>70756</xdr:rowOff>
    </xdr:from>
    <xdr:to>
      <xdr:col>1</xdr:col>
      <xdr:colOff>2901041</xdr:colOff>
      <xdr:row>0</xdr:row>
      <xdr:rowOff>446314</xdr:rowOff>
    </xdr:to>
    <xdr:sp macro="[0]!Input_Click_Input_Default_F" textlink="">
      <xdr:nvSpPr>
        <xdr:cNvPr id="3" name="Rectangle 2">
          <a:extLst>
            <a:ext uri="{FF2B5EF4-FFF2-40B4-BE49-F238E27FC236}">
              <a16:creationId xmlns:a16="http://schemas.microsoft.com/office/drawing/2014/main" id="{1D0F37F7-6A96-403F-A87C-0D79975209FF}"/>
            </a:ext>
          </a:extLst>
        </xdr:cNvPr>
        <xdr:cNvSpPr/>
      </xdr:nvSpPr>
      <xdr:spPr>
        <a:xfrm>
          <a:off x="266699" y="70756"/>
          <a:ext cx="2813956" cy="375558"/>
        </a:xfrm>
        <a:prstGeom prst="rect">
          <a:avLst/>
        </a:prstGeom>
        <a:solidFill>
          <a:srgbClr val="7030A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600"/>
            <a:t>CLICK:</a:t>
          </a:r>
          <a:r>
            <a:rPr lang="en-US" sz="1600" baseline="0"/>
            <a:t> </a:t>
          </a:r>
          <a:r>
            <a:rPr lang="en-US" sz="1600"/>
            <a:t>Go</a:t>
          </a:r>
          <a:r>
            <a:rPr lang="en-US" sz="1600" baseline="0"/>
            <a:t> back to Inputs (Add)</a:t>
          </a:r>
          <a:endParaRPr lang="en-US" sz="1600"/>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9</xdr:col>
      <xdr:colOff>124162</xdr:colOff>
      <xdr:row>0</xdr:row>
      <xdr:rowOff>129801</xdr:rowOff>
    </xdr:from>
    <xdr:to>
      <xdr:col>9</xdr:col>
      <xdr:colOff>1548376</xdr:colOff>
      <xdr:row>1</xdr:row>
      <xdr:rowOff>223355</xdr:rowOff>
    </xdr:to>
    <xdr:sp macro="[0]!RectangleRounded_data_validation_input" textlink="">
      <xdr:nvSpPr>
        <xdr:cNvPr id="2" name="Rectangle: Rounded Corners 1">
          <a:extLst>
            <a:ext uri="{FF2B5EF4-FFF2-40B4-BE49-F238E27FC236}">
              <a16:creationId xmlns:a16="http://schemas.microsoft.com/office/drawing/2014/main" id="{00000000-0008-0000-0100-000002000000}"/>
            </a:ext>
          </a:extLst>
        </xdr:cNvPr>
        <xdr:cNvSpPr/>
      </xdr:nvSpPr>
      <xdr:spPr>
        <a:xfrm>
          <a:off x="36954162" y="129801"/>
          <a:ext cx="1424214" cy="253684"/>
        </a:xfrm>
        <a:prstGeom prst="roundRect">
          <a:avLst/>
        </a:prstGeom>
        <a:solidFill>
          <a:srgbClr val="99CC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solidFill>
                <a:schemeClr val="tx1"/>
              </a:solidFill>
            </a:rPr>
            <a:t>Data Validation VBA</a:t>
          </a:r>
        </a:p>
      </xdr:txBody>
    </xdr:sp>
    <xdr:clientData/>
  </xdr:twoCellAnchor>
  <xdr:twoCellAnchor>
    <xdr:from>
      <xdr:col>3</xdr:col>
      <xdr:colOff>31397</xdr:colOff>
      <xdr:row>1</xdr:row>
      <xdr:rowOff>78511</xdr:rowOff>
    </xdr:from>
    <xdr:to>
      <xdr:col>4</xdr:col>
      <xdr:colOff>1393214</xdr:colOff>
      <xdr:row>1</xdr:row>
      <xdr:rowOff>425450</xdr:rowOff>
    </xdr:to>
    <xdr:sp macro="[0]!RectangleRoundedCorners3_Click" textlink="">
      <xdr:nvSpPr>
        <xdr:cNvPr id="6" name="Rectangle 5">
          <a:extLst>
            <a:ext uri="{FF2B5EF4-FFF2-40B4-BE49-F238E27FC236}">
              <a16:creationId xmlns:a16="http://schemas.microsoft.com/office/drawing/2014/main" id="{BA657D09-70C7-4EBF-B3A7-99843E7B1349}"/>
            </a:ext>
          </a:extLst>
        </xdr:cNvPr>
        <xdr:cNvSpPr/>
      </xdr:nvSpPr>
      <xdr:spPr>
        <a:xfrm>
          <a:off x="4997097" y="237261"/>
          <a:ext cx="2644517" cy="346939"/>
        </a:xfrm>
        <a:prstGeom prst="rect">
          <a:avLst/>
        </a:prstGeom>
        <a:solidFill>
          <a:srgbClr val="7030A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500" b="0" u="sng"/>
            <a:t>CLICK:</a:t>
          </a:r>
          <a:r>
            <a:rPr lang="en-US" sz="1500" b="0" u="sng" baseline="0"/>
            <a:t>  </a:t>
          </a:r>
          <a:r>
            <a:rPr lang="en-US" sz="1500" b="0" u="sng"/>
            <a:t>Rest to Default</a:t>
          </a:r>
          <a:r>
            <a:rPr lang="en-US" sz="1500" b="0" u="sng" baseline="0"/>
            <a:t> Value</a:t>
          </a:r>
          <a:endParaRPr lang="en-US" sz="1500" b="0" u="sng"/>
        </a:p>
      </xdr:txBody>
    </xdr:sp>
    <xdr:clientData/>
  </xdr:twoCellAnchor>
  <xdr:twoCellAnchor>
    <xdr:from>
      <xdr:col>1</xdr:col>
      <xdr:colOff>2078067</xdr:colOff>
      <xdr:row>1</xdr:row>
      <xdr:rowOff>69062</xdr:rowOff>
    </xdr:from>
    <xdr:to>
      <xdr:col>2</xdr:col>
      <xdr:colOff>1003061</xdr:colOff>
      <xdr:row>1</xdr:row>
      <xdr:rowOff>444500</xdr:rowOff>
    </xdr:to>
    <xdr:sp macro="[0]!Input_Click_Input_Default_T" textlink="">
      <xdr:nvSpPr>
        <xdr:cNvPr id="3" name="Rectangle 2">
          <a:extLst>
            <a:ext uri="{FF2B5EF4-FFF2-40B4-BE49-F238E27FC236}">
              <a16:creationId xmlns:a16="http://schemas.microsoft.com/office/drawing/2014/main" id="{78D4191C-FA14-4CC3-B337-7EAB745ED054}"/>
            </a:ext>
          </a:extLst>
        </xdr:cNvPr>
        <xdr:cNvSpPr/>
      </xdr:nvSpPr>
      <xdr:spPr>
        <a:xfrm>
          <a:off x="2363817" y="227812"/>
          <a:ext cx="2423844" cy="375438"/>
        </a:xfrm>
        <a:prstGeom prst="rect">
          <a:avLst/>
        </a:prstGeom>
        <a:solidFill>
          <a:srgbClr val="00206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500" b="0" u="sng"/>
            <a:t>CLICK:</a:t>
          </a:r>
          <a:r>
            <a:rPr lang="en-US" sz="1500" b="0" u="sng" baseline="0"/>
            <a:t>  </a:t>
          </a:r>
          <a:r>
            <a:rPr lang="en-US" sz="1500" b="0" u="sng"/>
            <a:t>Go to Default</a:t>
          </a:r>
          <a:r>
            <a:rPr lang="en-US" sz="1500" b="0" u="sng" baseline="0"/>
            <a:t> Value</a:t>
          </a:r>
          <a:endParaRPr lang="en-US" sz="1500" b="0" u="sng"/>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0</xdr:col>
      <xdr:colOff>152400</xdr:colOff>
      <xdr:row>21</xdr:row>
      <xdr:rowOff>5442</xdr:rowOff>
    </xdr:from>
    <xdr:to>
      <xdr:col>1</xdr:col>
      <xdr:colOff>805542</xdr:colOff>
      <xdr:row>22</xdr:row>
      <xdr:rowOff>152400</xdr:rowOff>
    </xdr:to>
    <xdr:sp macro="[0]!Input_Click_F" textlink="">
      <xdr:nvSpPr>
        <xdr:cNvPr id="2" name="Rectangle 1">
          <a:extLst>
            <a:ext uri="{FF2B5EF4-FFF2-40B4-BE49-F238E27FC236}">
              <a16:creationId xmlns:a16="http://schemas.microsoft.com/office/drawing/2014/main" id="{DE4B73FD-3841-45A9-95E1-754F2602179C}"/>
            </a:ext>
          </a:extLst>
        </xdr:cNvPr>
        <xdr:cNvSpPr/>
      </xdr:nvSpPr>
      <xdr:spPr>
        <a:xfrm>
          <a:off x="152400" y="3891642"/>
          <a:ext cx="2895599" cy="332015"/>
        </a:xfrm>
        <a:prstGeom prst="rect">
          <a:avLst/>
        </a:prstGeom>
        <a:solidFill>
          <a:srgbClr val="7030A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600"/>
            <a:t>CLICK:</a:t>
          </a:r>
          <a:r>
            <a:rPr lang="en-US" sz="1600" baseline="0"/>
            <a:t> </a:t>
          </a:r>
          <a:r>
            <a:rPr lang="en-US" sz="1600"/>
            <a:t>Go</a:t>
          </a:r>
          <a:r>
            <a:rPr lang="en-US" sz="1600" baseline="0"/>
            <a:t> back to Dashboard</a:t>
          </a:r>
          <a:endParaRPr lang="en-US" sz="1600"/>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xdr:col>
      <xdr:colOff>97972</xdr:colOff>
      <xdr:row>0</xdr:row>
      <xdr:rowOff>130628</xdr:rowOff>
    </xdr:from>
    <xdr:to>
      <xdr:col>1</xdr:col>
      <xdr:colOff>2911928</xdr:colOff>
      <xdr:row>0</xdr:row>
      <xdr:rowOff>462643</xdr:rowOff>
    </xdr:to>
    <xdr:sp macro="[0]!Input_Click_LCOH_F" textlink="">
      <xdr:nvSpPr>
        <xdr:cNvPr id="2" name="Rectangle 1">
          <a:extLst>
            <a:ext uri="{FF2B5EF4-FFF2-40B4-BE49-F238E27FC236}">
              <a16:creationId xmlns:a16="http://schemas.microsoft.com/office/drawing/2014/main" id="{B5D554E1-8281-4FBF-A2D0-71C66DB40978}"/>
            </a:ext>
          </a:extLst>
        </xdr:cNvPr>
        <xdr:cNvSpPr/>
      </xdr:nvSpPr>
      <xdr:spPr>
        <a:xfrm>
          <a:off x="500743" y="130628"/>
          <a:ext cx="2813956" cy="332015"/>
        </a:xfrm>
        <a:prstGeom prst="rect">
          <a:avLst/>
        </a:prstGeom>
        <a:solidFill>
          <a:srgbClr val="00206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600"/>
            <a:t>CLICK:</a:t>
          </a:r>
          <a:r>
            <a:rPr lang="en-US" sz="1600" baseline="0"/>
            <a:t> </a:t>
          </a:r>
          <a:r>
            <a:rPr lang="en-US" sz="1600"/>
            <a:t>Go</a:t>
          </a:r>
          <a:r>
            <a:rPr lang="en-US" sz="1600" baseline="0"/>
            <a:t> back to Dashboard</a:t>
          </a:r>
          <a:endParaRPr lang="en-US" sz="1600"/>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xdr:col>
      <xdr:colOff>67491</xdr:colOff>
      <xdr:row>0</xdr:row>
      <xdr:rowOff>250373</xdr:rowOff>
    </xdr:from>
    <xdr:to>
      <xdr:col>5</xdr:col>
      <xdr:colOff>250371</xdr:colOff>
      <xdr:row>0</xdr:row>
      <xdr:rowOff>544286</xdr:rowOff>
    </xdr:to>
    <xdr:sp macro="[0]!Input_Click_NPV_F" textlink="">
      <xdr:nvSpPr>
        <xdr:cNvPr id="2" name="Rectangle 1">
          <a:extLst>
            <a:ext uri="{FF2B5EF4-FFF2-40B4-BE49-F238E27FC236}">
              <a16:creationId xmlns:a16="http://schemas.microsoft.com/office/drawing/2014/main" id="{F2CA571F-9894-4F43-93D4-C2814DD4A946}"/>
            </a:ext>
          </a:extLst>
        </xdr:cNvPr>
        <xdr:cNvSpPr/>
      </xdr:nvSpPr>
      <xdr:spPr>
        <a:xfrm>
          <a:off x="236220" y="250373"/>
          <a:ext cx="2479765" cy="293913"/>
        </a:xfrm>
        <a:prstGeom prst="rect">
          <a:avLst/>
        </a:prstGeom>
        <a:solidFill>
          <a:srgbClr val="00206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400"/>
            <a:t>CLICK:</a:t>
          </a:r>
          <a:r>
            <a:rPr lang="en-US" sz="1400" baseline="0"/>
            <a:t> </a:t>
          </a:r>
          <a:r>
            <a:rPr lang="en-US" sz="1400"/>
            <a:t>Go</a:t>
          </a:r>
          <a:r>
            <a:rPr lang="en-US" sz="1400" baseline="0"/>
            <a:t> back to Dashboard</a:t>
          </a:r>
          <a:endParaRPr lang="en-US" sz="1400"/>
        </a:p>
      </xdr:txBody>
    </xdr:sp>
    <xdr:clientData/>
  </xdr:twoCellAnchor>
  <xdr:twoCellAnchor>
    <xdr:from>
      <xdr:col>9</xdr:col>
      <xdr:colOff>54429</xdr:colOff>
      <xdr:row>0</xdr:row>
      <xdr:rowOff>32658</xdr:rowOff>
    </xdr:from>
    <xdr:to>
      <xdr:col>10</xdr:col>
      <xdr:colOff>522515</xdr:colOff>
      <xdr:row>0</xdr:row>
      <xdr:rowOff>555171</xdr:rowOff>
    </xdr:to>
    <xdr:sp macro="[0]!Input_Click_Depreciation_T" textlink="">
      <xdr:nvSpPr>
        <xdr:cNvPr id="3" name="Rectangle 2">
          <a:extLst>
            <a:ext uri="{FF2B5EF4-FFF2-40B4-BE49-F238E27FC236}">
              <a16:creationId xmlns:a16="http://schemas.microsoft.com/office/drawing/2014/main" id="{17DBDAAD-6381-4184-BA01-7E7A772080B9}"/>
            </a:ext>
          </a:extLst>
        </xdr:cNvPr>
        <xdr:cNvSpPr/>
      </xdr:nvSpPr>
      <xdr:spPr>
        <a:xfrm>
          <a:off x="8501743" y="32658"/>
          <a:ext cx="1649186" cy="522513"/>
        </a:xfrm>
        <a:prstGeom prst="rect">
          <a:avLst/>
        </a:prstGeom>
        <a:solidFill>
          <a:srgbClr val="7030A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200" b="1" u="sng"/>
            <a:t>CLICK:</a:t>
          </a:r>
          <a:r>
            <a:rPr lang="en-US" sz="1200" b="1" u="sng" baseline="0"/>
            <a:t> </a:t>
          </a:r>
          <a:r>
            <a:rPr lang="en-US" sz="1200" b="1" u="sng"/>
            <a:t>Depreciation Table</a:t>
          </a:r>
        </a:p>
      </xdr:txBody>
    </xdr:sp>
    <xdr:clientData/>
  </xdr:twoCellAnchor>
  <xdr:twoCellAnchor>
    <xdr:from>
      <xdr:col>5</xdr:col>
      <xdr:colOff>609600</xdr:colOff>
      <xdr:row>0</xdr:row>
      <xdr:rowOff>21771</xdr:rowOff>
    </xdr:from>
    <xdr:to>
      <xdr:col>7</xdr:col>
      <xdr:colOff>544286</xdr:colOff>
      <xdr:row>0</xdr:row>
      <xdr:rowOff>576942</xdr:rowOff>
    </xdr:to>
    <xdr:sp macro="[0]!Input_Click_Debt_Principal_Costs_T" textlink="">
      <xdr:nvSpPr>
        <xdr:cNvPr id="4" name="Rectangle 3">
          <a:extLst>
            <a:ext uri="{FF2B5EF4-FFF2-40B4-BE49-F238E27FC236}">
              <a16:creationId xmlns:a16="http://schemas.microsoft.com/office/drawing/2014/main" id="{C5073A72-BA02-4BAB-A90C-B513D179D799}"/>
            </a:ext>
          </a:extLst>
        </xdr:cNvPr>
        <xdr:cNvSpPr/>
      </xdr:nvSpPr>
      <xdr:spPr>
        <a:xfrm>
          <a:off x="3075214" y="21771"/>
          <a:ext cx="2155372" cy="555171"/>
        </a:xfrm>
        <a:prstGeom prst="rect">
          <a:avLst/>
        </a:prstGeom>
        <a:solidFill>
          <a:srgbClr val="7030A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u="sng"/>
            <a:t>CLICK:</a:t>
          </a:r>
          <a:r>
            <a:rPr lang="en-US" sz="1200" b="1" u="sng" baseline="0"/>
            <a:t> </a:t>
          </a:r>
          <a:r>
            <a:rPr lang="en-US" sz="1200" b="1" u="sng"/>
            <a:t>Tables for</a:t>
          </a:r>
          <a:r>
            <a:rPr lang="en-US" sz="1200" b="1" u="sng" baseline="0"/>
            <a:t> Principal payment and debt interest</a:t>
          </a:r>
          <a:endParaRPr lang="en-US" sz="1200" b="1" u="sng"/>
        </a:p>
      </xdr:txBody>
    </xdr:sp>
    <xdr:clientData/>
  </xdr:twoCellAnchor>
  <xdr:twoCellAnchor>
    <xdr:from>
      <xdr:col>7</xdr:col>
      <xdr:colOff>604157</xdr:colOff>
      <xdr:row>0</xdr:row>
      <xdr:rowOff>1</xdr:rowOff>
    </xdr:from>
    <xdr:to>
      <xdr:col>9</xdr:col>
      <xdr:colOff>10886</xdr:colOff>
      <xdr:row>0</xdr:row>
      <xdr:rowOff>538843</xdr:rowOff>
    </xdr:to>
    <xdr:sp macro="[0]!Input_Click_replacement_T" textlink="">
      <xdr:nvSpPr>
        <xdr:cNvPr id="5" name="Rectangle 4">
          <a:extLst>
            <a:ext uri="{FF2B5EF4-FFF2-40B4-BE49-F238E27FC236}">
              <a16:creationId xmlns:a16="http://schemas.microsoft.com/office/drawing/2014/main" id="{738D0C7F-D67F-4F85-9115-082D7B5BC9A7}"/>
            </a:ext>
          </a:extLst>
        </xdr:cNvPr>
        <xdr:cNvSpPr/>
      </xdr:nvSpPr>
      <xdr:spPr>
        <a:xfrm>
          <a:off x="6830786" y="1"/>
          <a:ext cx="1627414" cy="538842"/>
        </a:xfrm>
        <a:prstGeom prst="rect">
          <a:avLst/>
        </a:prstGeom>
        <a:solidFill>
          <a:srgbClr val="7030A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200" b="1" u="sng"/>
            <a:t>CLICK:</a:t>
          </a:r>
          <a:r>
            <a:rPr lang="en-US" sz="1200" b="1" u="sng" baseline="0"/>
            <a:t>  </a:t>
          </a:r>
          <a:r>
            <a:rPr lang="en-US" sz="1200" b="1" u="sng"/>
            <a:t>Replacement Cost Table</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4</xdr:col>
      <xdr:colOff>16328</xdr:colOff>
      <xdr:row>0</xdr:row>
      <xdr:rowOff>65314</xdr:rowOff>
    </xdr:from>
    <xdr:to>
      <xdr:col>8</xdr:col>
      <xdr:colOff>538842</xdr:colOff>
      <xdr:row>1</xdr:row>
      <xdr:rowOff>103414</xdr:rowOff>
    </xdr:to>
    <xdr:sp macro="[0]!Input_Click_replacement_F" textlink="">
      <xdr:nvSpPr>
        <xdr:cNvPr id="2" name="Rectangle 1">
          <a:extLst>
            <a:ext uri="{FF2B5EF4-FFF2-40B4-BE49-F238E27FC236}">
              <a16:creationId xmlns:a16="http://schemas.microsoft.com/office/drawing/2014/main" id="{82935998-A4AE-4A57-8AA2-D406712A0EA1}"/>
            </a:ext>
          </a:extLst>
        </xdr:cNvPr>
        <xdr:cNvSpPr/>
      </xdr:nvSpPr>
      <xdr:spPr>
        <a:xfrm>
          <a:off x="2911928" y="65314"/>
          <a:ext cx="3548743" cy="310243"/>
        </a:xfrm>
        <a:prstGeom prst="rect">
          <a:avLst/>
        </a:prstGeom>
        <a:solidFill>
          <a:srgbClr val="00206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600"/>
            <a:t>CLICK:</a:t>
          </a:r>
          <a:r>
            <a:rPr lang="en-US" sz="1600" baseline="0"/>
            <a:t> </a:t>
          </a:r>
          <a:r>
            <a:rPr lang="en-US" sz="1600"/>
            <a:t>Go</a:t>
          </a:r>
          <a:r>
            <a:rPr lang="en-US" sz="1600" baseline="0"/>
            <a:t> back to Cash Flow Analysis </a:t>
          </a:r>
          <a:endParaRPr lang="en-US" sz="1600"/>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2</xdr:col>
      <xdr:colOff>157843</xdr:colOff>
      <xdr:row>0</xdr:row>
      <xdr:rowOff>87086</xdr:rowOff>
    </xdr:from>
    <xdr:to>
      <xdr:col>5</xdr:col>
      <xdr:colOff>642257</xdr:colOff>
      <xdr:row>1</xdr:row>
      <xdr:rowOff>146958</xdr:rowOff>
    </xdr:to>
    <xdr:sp macro="[0]!Input_Click_Depreciation_F" textlink="">
      <xdr:nvSpPr>
        <xdr:cNvPr id="2" name="Rectangle 1">
          <a:extLst>
            <a:ext uri="{FF2B5EF4-FFF2-40B4-BE49-F238E27FC236}">
              <a16:creationId xmlns:a16="http://schemas.microsoft.com/office/drawing/2014/main" id="{76A8C250-D61D-4209-B291-2BEC48D35329}"/>
            </a:ext>
          </a:extLst>
        </xdr:cNvPr>
        <xdr:cNvSpPr/>
      </xdr:nvSpPr>
      <xdr:spPr>
        <a:xfrm>
          <a:off x="3918857" y="87086"/>
          <a:ext cx="3238500" cy="332015"/>
        </a:xfrm>
        <a:prstGeom prst="rect">
          <a:avLst/>
        </a:prstGeom>
        <a:solidFill>
          <a:srgbClr val="00206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r>
            <a:rPr lang="en-US" sz="1600">
              <a:solidFill>
                <a:schemeClr val="lt1"/>
              </a:solidFill>
              <a:effectLst/>
              <a:latin typeface="+mn-lt"/>
              <a:ea typeface="+mn-ea"/>
              <a:cs typeface="+mn-cs"/>
            </a:rPr>
            <a:t>CLICK:</a:t>
          </a:r>
          <a:r>
            <a:rPr lang="en-US" sz="1600" baseline="0">
              <a:solidFill>
                <a:schemeClr val="lt1"/>
              </a:solidFill>
              <a:effectLst/>
              <a:latin typeface="+mn-lt"/>
              <a:ea typeface="+mn-ea"/>
              <a:cs typeface="+mn-cs"/>
            </a:rPr>
            <a:t> </a:t>
          </a:r>
          <a:r>
            <a:rPr lang="en-US" sz="1600">
              <a:solidFill>
                <a:schemeClr val="lt1"/>
              </a:solidFill>
              <a:effectLst/>
              <a:latin typeface="+mn-lt"/>
              <a:ea typeface="+mn-ea"/>
              <a:cs typeface="+mn-cs"/>
            </a:rPr>
            <a:t>Go</a:t>
          </a:r>
          <a:r>
            <a:rPr lang="en-US" sz="1600" baseline="0">
              <a:solidFill>
                <a:schemeClr val="lt1"/>
              </a:solidFill>
              <a:effectLst/>
              <a:latin typeface="+mn-lt"/>
              <a:ea typeface="+mn-ea"/>
              <a:cs typeface="+mn-cs"/>
            </a:rPr>
            <a:t> back to Cash Flow Analysis </a:t>
          </a:r>
          <a:endParaRPr lang="en-US" sz="1600">
            <a:effectLst/>
          </a:endParaRP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3</xdr:col>
      <xdr:colOff>348343</xdr:colOff>
      <xdr:row>0</xdr:row>
      <xdr:rowOff>32658</xdr:rowOff>
    </xdr:from>
    <xdr:to>
      <xdr:col>5</xdr:col>
      <xdr:colOff>664029</xdr:colOff>
      <xdr:row>1</xdr:row>
      <xdr:rowOff>92530</xdr:rowOff>
    </xdr:to>
    <xdr:sp macro="[0]!Input_Click_Debt_Principal_Costs_F" textlink="">
      <xdr:nvSpPr>
        <xdr:cNvPr id="2" name="Rectangle 1">
          <a:extLst>
            <a:ext uri="{FF2B5EF4-FFF2-40B4-BE49-F238E27FC236}">
              <a16:creationId xmlns:a16="http://schemas.microsoft.com/office/drawing/2014/main" id="{EB97E024-8B1C-47F5-906C-0AA576BE0D18}"/>
            </a:ext>
          </a:extLst>
        </xdr:cNvPr>
        <xdr:cNvSpPr/>
      </xdr:nvSpPr>
      <xdr:spPr>
        <a:xfrm>
          <a:off x="3276600" y="32658"/>
          <a:ext cx="3243943" cy="332015"/>
        </a:xfrm>
        <a:prstGeom prst="rect">
          <a:avLst/>
        </a:prstGeom>
        <a:solidFill>
          <a:srgbClr val="00206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r>
            <a:rPr lang="en-US" sz="1600">
              <a:solidFill>
                <a:schemeClr val="lt1"/>
              </a:solidFill>
              <a:effectLst/>
              <a:latin typeface="+mn-lt"/>
              <a:ea typeface="+mn-ea"/>
              <a:cs typeface="+mn-cs"/>
            </a:rPr>
            <a:t>CLICK:</a:t>
          </a:r>
          <a:r>
            <a:rPr lang="en-US" sz="1600" baseline="0">
              <a:solidFill>
                <a:schemeClr val="lt1"/>
              </a:solidFill>
              <a:effectLst/>
              <a:latin typeface="+mn-lt"/>
              <a:ea typeface="+mn-ea"/>
              <a:cs typeface="+mn-cs"/>
            </a:rPr>
            <a:t> </a:t>
          </a:r>
          <a:r>
            <a:rPr lang="en-US" sz="1600">
              <a:solidFill>
                <a:schemeClr val="lt1"/>
              </a:solidFill>
              <a:effectLst/>
              <a:latin typeface="+mn-lt"/>
              <a:ea typeface="+mn-ea"/>
              <a:cs typeface="+mn-cs"/>
            </a:rPr>
            <a:t>Go</a:t>
          </a:r>
          <a:r>
            <a:rPr lang="en-US" sz="1600" baseline="0">
              <a:solidFill>
                <a:schemeClr val="lt1"/>
              </a:solidFill>
              <a:effectLst/>
              <a:latin typeface="+mn-lt"/>
              <a:ea typeface="+mn-ea"/>
              <a:cs typeface="+mn-cs"/>
            </a:rPr>
            <a:t> back to Cash Flow Analysis </a:t>
          </a:r>
          <a:endParaRPr lang="en-US" sz="1600">
            <a:effectLst/>
          </a:endParaRP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2</xdr:col>
      <xdr:colOff>97972</xdr:colOff>
      <xdr:row>0</xdr:row>
      <xdr:rowOff>136071</xdr:rowOff>
    </xdr:from>
    <xdr:to>
      <xdr:col>5</xdr:col>
      <xdr:colOff>348342</xdr:colOff>
      <xdr:row>0</xdr:row>
      <xdr:rowOff>468086</xdr:rowOff>
    </xdr:to>
    <xdr:sp macro="[0]!Input_Click_Add_SA_F" textlink="">
      <xdr:nvSpPr>
        <xdr:cNvPr id="2" name="Rectangle 1">
          <a:extLst>
            <a:ext uri="{FF2B5EF4-FFF2-40B4-BE49-F238E27FC236}">
              <a16:creationId xmlns:a16="http://schemas.microsoft.com/office/drawing/2014/main" id="{216ED54A-124E-4B31-B77D-158DFDE6DAD5}"/>
            </a:ext>
          </a:extLst>
        </xdr:cNvPr>
        <xdr:cNvSpPr/>
      </xdr:nvSpPr>
      <xdr:spPr>
        <a:xfrm>
          <a:off x="2715986" y="136071"/>
          <a:ext cx="2813956" cy="332015"/>
        </a:xfrm>
        <a:prstGeom prst="rect">
          <a:avLst/>
        </a:prstGeom>
        <a:solidFill>
          <a:srgbClr val="00206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600"/>
            <a:t>CLICK:</a:t>
          </a:r>
          <a:r>
            <a:rPr lang="en-US" sz="1600" baseline="0"/>
            <a:t> </a:t>
          </a:r>
          <a:r>
            <a:rPr lang="en-US" sz="1600"/>
            <a:t>Go</a:t>
          </a:r>
          <a:r>
            <a:rPr lang="en-US" sz="1600" baseline="0"/>
            <a:t> back to Dashboard</a:t>
          </a:r>
          <a:endParaRPr lang="en-US" sz="1600"/>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6</xdr:col>
      <xdr:colOff>32656</xdr:colOff>
      <xdr:row>0</xdr:row>
      <xdr:rowOff>136072</xdr:rowOff>
    </xdr:from>
    <xdr:to>
      <xdr:col>8</xdr:col>
      <xdr:colOff>756555</xdr:colOff>
      <xdr:row>3</xdr:row>
      <xdr:rowOff>283029</xdr:rowOff>
    </xdr:to>
    <xdr:sp macro="[0]!Input_Click_Preference_Analysis_F" textlink="">
      <xdr:nvSpPr>
        <xdr:cNvPr id="2" name="Rectangle 1">
          <a:extLst>
            <a:ext uri="{FF2B5EF4-FFF2-40B4-BE49-F238E27FC236}">
              <a16:creationId xmlns:a16="http://schemas.microsoft.com/office/drawing/2014/main" id="{0ABC29CD-54CA-49E9-95D7-12DC302775D7}"/>
            </a:ext>
          </a:extLst>
        </xdr:cNvPr>
        <xdr:cNvSpPr/>
      </xdr:nvSpPr>
      <xdr:spPr>
        <a:xfrm>
          <a:off x="6030685" y="136072"/>
          <a:ext cx="2237013" cy="702128"/>
        </a:xfrm>
        <a:prstGeom prst="rect">
          <a:avLst/>
        </a:prstGeom>
        <a:solidFill>
          <a:srgbClr val="00206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600"/>
            <a:t>CLICK:</a:t>
          </a:r>
          <a:r>
            <a:rPr lang="en-US" sz="1600" baseline="0"/>
            <a:t> </a:t>
          </a:r>
          <a:r>
            <a:rPr lang="en-US" sz="1600"/>
            <a:t>Go</a:t>
          </a:r>
          <a:r>
            <a:rPr lang="en-US" sz="1600" baseline="0"/>
            <a:t> back to Dashboard</a:t>
          </a:r>
          <a:endParaRPr lang="en-US" sz="1600"/>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12</xdr:col>
      <xdr:colOff>207158</xdr:colOff>
      <xdr:row>15</xdr:row>
      <xdr:rowOff>26602</xdr:rowOff>
    </xdr:from>
    <xdr:to>
      <xdr:col>19</xdr:col>
      <xdr:colOff>760063</xdr:colOff>
      <xdr:row>46</xdr:row>
      <xdr:rowOff>148092</xdr:rowOff>
    </xdr:to>
    <xdr:graphicFrame macro="">
      <xdr:nvGraphicFramePr>
        <xdr:cNvPr id="3" name="Chart 2">
          <a:extLst>
            <a:ext uri="{FF2B5EF4-FFF2-40B4-BE49-F238E27FC236}">
              <a16:creationId xmlns:a16="http://schemas.microsoft.com/office/drawing/2014/main" id="{00000000-0008-0000-08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522061</xdr:colOff>
      <xdr:row>0</xdr:row>
      <xdr:rowOff>65315</xdr:rowOff>
    </xdr:from>
    <xdr:to>
      <xdr:col>20</xdr:col>
      <xdr:colOff>471034</xdr:colOff>
      <xdr:row>14</xdr:row>
      <xdr:rowOff>35152</xdr:rowOff>
    </xdr:to>
    <xdr:graphicFrame macro="">
      <xdr:nvGraphicFramePr>
        <xdr:cNvPr id="6" name="Chart 5">
          <a:extLst>
            <a:ext uri="{FF2B5EF4-FFF2-40B4-BE49-F238E27FC236}">
              <a16:creationId xmlns:a16="http://schemas.microsoft.com/office/drawing/2014/main" id="{B40CA989-E904-464E-B83E-C91B41F2E88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4</xdr:col>
      <xdr:colOff>47900</xdr:colOff>
      <xdr:row>62</xdr:row>
      <xdr:rowOff>27213</xdr:rowOff>
    </xdr:from>
    <xdr:to>
      <xdr:col>9</xdr:col>
      <xdr:colOff>519252</xdr:colOff>
      <xdr:row>79</xdr:row>
      <xdr:rowOff>81642</xdr:rowOff>
    </xdr:to>
    <xdr:graphicFrame macro="">
      <xdr:nvGraphicFramePr>
        <xdr:cNvPr id="7" name="Chart 6">
          <a:extLst>
            <a:ext uri="{FF2B5EF4-FFF2-40B4-BE49-F238E27FC236}">
              <a16:creationId xmlns:a16="http://schemas.microsoft.com/office/drawing/2014/main" id="{BA2C174F-48CB-4C8A-B277-92E42BC985D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76198</xdr:colOff>
      <xdr:row>97</xdr:row>
      <xdr:rowOff>117293</xdr:rowOff>
    </xdr:from>
    <xdr:to>
      <xdr:col>2</xdr:col>
      <xdr:colOff>1101632</xdr:colOff>
      <xdr:row>99</xdr:row>
      <xdr:rowOff>79192</xdr:rowOff>
    </xdr:to>
    <xdr:sp macro="[0]!Input_Click_Correlations_F" textlink="">
      <xdr:nvSpPr>
        <xdr:cNvPr id="8" name="Rectangle 7">
          <a:extLst>
            <a:ext uri="{FF2B5EF4-FFF2-40B4-BE49-F238E27FC236}">
              <a16:creationId xmlns:a16="http://schemas.microsoft.com/office/drawing/2014/main" id="{78953A27-4572-44A7-B8D1-4EB4D306BD8D}"/>
            </a:ext>
          </a:extLst>
        </xdr:cNvPr>
        <xdr:cNvSpPr/>
      </xdr:nvSpPr>
      <xdr:spPr>
        <a:xfrm>
          <a:off x="76198" y="13509443"/>
          <a:ext cx="5197384" cy="323849"/>
        </a:xfrm>
        <a:prstGeom prst="rect">
          <a:avLst/>
        </a:prstGeom>
        <a:solidFill>
          <a:srgbClr val="00206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600"/>
            <a:t>CLICK:</a:t>
          </a:r>
          <a:r>
            <a:rPr lang="en-US" sz="1600" baseline="0"/>
            <a:t> </a:t>
          </a:r>
          <a:r>
            <a:rPr lang="en-US" sz="1600"/>
            <a:t>Go</a:t>
          </a:r>
          <a:r>
            <a:rPr lang="en-US" sz="1600" baseline="0"/>
            <a:t> back to Dashboard</a:t>
          </a:r>
          <a:endParaRPr lang="en-US" sz="1600"/>
        </a:p>
      </xdr:txBody>
    </xdr:sp>
    <xdr:clientData/>
  </xdr:twoCellAnchor>
  <xdr:twoCellAnchor>
    <xdr:from>
      <xdr:col>0</xdr:col>
      <xdr:colOff>146958</xdr:colOff>
      <xdr:row>62</xdr:row>
      <xdr:rowOff>38099</xdr:rowOff>
    </xdr:from>
    <xdr:to>
      <xdr:col>4</xdr:col>
      <xdr:colOff>2</xdr:colOff>
      <xdr:row>79</xdr:row>
      <xdr:rowOff>92527</xdr:rowOff>
    </xdr:to>
    <xdr:graphicFrame macro="">
      <xdr:nvGraphicFramePr>
        <xdr:cNvPr id="13" name="Chart 12">
          <a:extLst>
            <a:ext uri="{FF2B5EF4-FFF2-40B4-BE49-F238E27FC236}">
              <a16:creationId xmlns:a16="http://schemas.microsoft.com/office/drawing/2014/main" id="{C50C2BCF-0AAB-497C-A88D-D1D1C253E54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20</xdr:col>
      <xdr:colOff>687842</xdr:colOff>
      <xdr:row>0</xdr:row>
      <xdr:rowOff>117249</xdr:rowOff>
    </xdr:from>
    <xdr:to>
      <xdr:col>28</xdr:col>
      <xdr:colOff>639536</xdr:colOff>
      <xdr:row>14</xdr:row>
      <xdr:rowOff>88900</xdr:rowOff>
    </xdr:to>
    <xdr:graphicFrame macro="">
      <xdr:nvGraphicFramePr>
        <xdr:cNvPr id="2" name="Chart 1">
          <a:extLst>
            <a:ext uri="{FF2B5EF4-FFF2-40B4-BE49-F238E27FC236}">
              <a16:creationId xmlns:a16="http://schemas.microsoft.com/office/drawing/2014/main" id="{74D7BCC1-A108-45C0-A460-356C4F698AD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wsDr>
</file>

<file path=xl/externalLinks/_rels/externalLink1.bin.rels><?xml version="1.0" encoding="UTF-8" standalone="yes"?>
<Relationships xmlns="http://schemas.openxmlformats.org/package/2006/relationships"><Relationship Id="rId2" Type="http://schemas.openxmlformats.org/officeDocument/2006/relationships/externalLinkPath" Target="file:///C:\Users\CHENW\Box\LWRS\FY24\2_Gulf%20Coast%20TEA%20(Knighton)\Dan_TEA_model\WC_500MW_SOEC%20HFTO%20complete%20rev_02f%20(IRA%20PTC%20-%202022%20indices).xlsm" TargetMode="External"/><Relationship Id="rId1" Type="http://schemas.openxmlformats.org/officeDocument/2006/relationships/externalLinkPath" Target="/Users/CHENW/Box/LWRS/FY24/2_Gulf%20Coast%20TEA%20(Knighton)/Dan_TEA_model/WC_500MW_SOEC%20HFTO%20complete%20rev_02f%20(IRA%20PTC%20-%202022%20indices).xlsm" TargetMode="External"/></Relationships>
</file>

<file path=xl/persons/person.xml><?xml version="1.0" encoding="utf-8"?>
<personList xmlns="http://schemas.microsoft.com/office/spreadsheetml/2018/threadedcomments" xmlns:x="http://schemas.openxmlformats.org/spreadsheetml/2006/main">
  <person displayName="Wen-Chi Cheng" id="{1A121D12-39C0-4E05-99C3-B0D371F776EC}" userId="S::WenChi.Cheng@inl.gov::38114d4a-9139-4cf6-bd99-5080a9d46302" providerId="AD"/>
</personList>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V6" dT="2024-02-02T20:13:18.08" personId="{1A121D12-39C0-4E05-99C3-B0D371F776EC}" id="{B22AB5B7-0594-43A8-9B72-75810B673D94}">
    <text>Select "HYBRID" mode if you are looking at electricity and H2 production together.</text>
  </threadedComment>
  <threadedComment ref="AD10" dT="2023-10-18T23:37:08.72" personId="{1A121D12-39C0-4E05-99C3-B0D371F776EC}" id="{957AF3C8-BDB9-4C09-BB60-FB240F30A68D}">
    <text xml:space="preserve">Note that the equations here do not incorporate the inflation rates and the user may want to set the inflation rate be zero by clicking "Additional Inputs Information" and put '0" in Cell "E44". </text>
  </threadedComment>
  <threadedComment ref="AB12" dT="2024-05-21T15:51:09.00" personId="{1A121D12-39C0-4E05-99C3-B0D371F776EC}" id="{B659666B-D890-4488-B1F7-88DDD8360DDF}">
    <text>The user may need to click "CLICK: LCOH Breakdowns" to see the detailed calculations in real number.</text>
  </threadedComment>
</ThreadedComments>
</file>

<file path=xl/threadedComments/threadedComment2.xml><?xml version="1.0" encoding="utf-8"?>
<ThreadedComments xmlns="http://schemas.microsoft.com/office/spreadsheetml/2018/threadedcomments" xmlns:x="http://schemas.openxmlformats.org/spreadsheetml/2006/main">
  <threadedComment ref="S3" dT="2023-02-16T21:35:44.15" personId="{1A121D12-39C0-4E05-99C3-B0D371F776EC}" id="{64CF14B6-0C06-4DAE-973E-60EDD4E57D87}">
    <text>Note that these values are calculated based on the operating cost data</text>
  </threadedComment>
</ThreadedComments>
</file>

<file path=xl/threadedComments/threadedComment3.xml><?xml version="1.0" encoding="utf-8"?>
<ThreadedComments xmlns="http://schemas.microsoft.com/office/spreadsheetml/2018/threadedcomments" xmlns:x="http://schemas.openxmlformats.org/spreadsheetml/2006/main">
  <threadedComment ref="AB12" dT="2023-04-06T17:24:52.48" personId="{1A121D12-39C0-4E05-99C3-B0D371F776EC}" id="{F93097E8-C454-4FF0-ACC7-F84CDA068138}">
    <text>Data sources: Table A-1 from https://www.irs.gov/publications/p946</text>
    <extLst>
      <x:ext xmlns:xltc2="http://schemas.microsoft.com/office/spreadsheetml/2020/threadedcomments2" uri="{F7C98A9C-CBB3-438F-8F68-D28B6AF4A901}">
        <xltc2:checksum>802478908</xltc2:checksum>
        <xltc2:hyperlink startIndex="29" length="37" url="https://www.irs.gov/publications/p946"/>
      </x:ext>
    </extLst>
  </threadedComment>
</ThreadedComments>
</file>

<file path=xl/worksheets/_rels/sheet1.bin.rels><?xml version="1.0" encoding="UTF-8" standalone="yes"?>
<Relationships xmlns="http://schemas.openxmlformats.org/package/2006/relationships"><Relationship Id="rId3" Type="http://schemas.openxmlformats.org/officeDocument/2006/relationships/printerSettings" Target="../printerSettings/printerSettings1.bin"/><Relationship Id="rId2" Type="http://schemas.openxmlformats.org/officeDocument/2006/relationships/hyperlink" Target="mailto:wenchi.cheng@inl.gov" TargetMode="External"/><Relationship Id="rId1" Type="http://schemas.microsoft.com/office/2006/relationships/xlBinaryIndex" Target="binaryIndex1.bin"/></Relationships>
</file>

<file path=xl/worksheets/_rels/sheet2.bin.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2.bin"/><Relationship Id="rId1" Type="http://schemas.microsoft.com/office/2006/relationships/xlBinaryIndex" Target="binaryIndex2.bin"/><Relationship Id="rId6" Type="http://schemas.microsoft.com/office/2017/10/relationships/threadedComment" Target="../threadedComments/threadedComment1.xml"/><Relationship Id="rId5" Type="http://schemas.openxmlformats.org/officeDocument/2006/relationships/comments" Target="../comments1.bin"/><Relationship Id="rId4" Type="http://schemas.openxmlformats.org/officeDocument/2006/relationships/vmlDrawing" Target="../drawings/vmlDrawing1.vml"/></Relationships>
</file>

<file path=xl/worksheets/_rels/sheet3.bin.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microsoft.com/office/2006/relationships/xlBinaryIndex" Target="binaryIndex3.bin"/><Relationship Id="rId5" Type="http://schemas.openxmlformats.org/officeDocument/2006/relationships/comments" Target="../comments2.bin"/><Relationship Id="rId4" Type="http://schemas.openxmlformats.org/officeDocument/2006/relationships/table" Target="../tables/table1.bin"/></Relationships>
</file>

<file path=xl/worksheets/_rels/sheet4.bin.rels><?xml version="1.0" encoding="UTF-8" standalone="yes"?>
<Relationships xmlns="http://schemas.openxmlformats.org/package/2006/relationships"><Relationship Id="rId8" Type="http://schemas.openxmlformats.org/officeDocument/2006/relationships/printerSettings" Target="../printerSettings/printerSettings3.bin"/><Relationship Id="rId3" Type="http://schemas.openxmlformats.org/officeDocument/2006/relationships/hyperlink" Target="https://www.engineeringtoolbox.com/water-density-specific-weight-d_595.html" TargetMode="External"/><Relationship Id="rId7" Type="http://schemas.openxmlformats.org/officeDocument/2006/relationships/hyperlink" Target="https://www.nrc.gov/info-finder/reactors/ano1.html" TargetMode="External"/><Relationship Id="rId12" Type="http://schemas.openxmlformats.org/officeDocument/2006/relationships/comments" Target="../comments3.bin"/><Relationship Id="rId2" Type="http://schemas.openxmlformats.org/officeDocument/2006/relationships/hyperlink" Target="https://www.engineeringtoolbox.com/water-density-specific-weight-d_595.html" TargetMode="External"/><Relationship Id="rId1" Type="http://schemas.microsoft.com/office/2006/relationships/xlBinaryIndex" Target="binaryIndex4.bin"/><Relationship Id="rId6" Type="http://schemas.openxmlformats.org/officeDocument/2006/relationships/hyperlink" Target="https://www.investopedia.com/terms/c/costofdebt.asp" TargetMode="External"/><Relationship Id="rId11" Type="http://schemas.openxmlformats.org/officeDocument/2006/relationships/table" Target="../tables/table2.bin"/><Relationship Id="rId5" Type="http://schemas.openxmlformats.org/officeDocument/2006/relationships/hyperlink" Target="https://www.investopedia.com/terms/c/costofdebt.asp" TargetMode="External"/><Relationship Id="rId10" Type="http://schemas.openxmlformats.org/officeDocument/2006/relationships/vmlDrawing" Target="../drawings/vmlDrawing3.vml"/><Relationship Id="rId4" Type="http://schemas.openxmlformats.org/officeDocument/2006/relationships/hyperlink" Target="https://www.investopedia.com/terms/w/wacc.asp" TargetMode="External"/><Relationship Id="rId9" Type="http://schemas.openxmlformats.org/officeDocument/2006/relationships/drawing" Target="../drawings/drawing3.xml"/></Relationships>
</file>

<file path=xl/worksheets/_rels/sheet5.bin.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microsoft.com/office/2006/relationships/xlBinaryIndex" Target="binaryIndex5.bin"/><Relationship Id="rId4" Type="http://schemas.openxmlformats.org/officeDocument/2006/relationships/comments" Target="../comments4.bin"/></Relationships>
</file>

<file path=xl/worksheets/_rels/sheet6.bin.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4.bin"/><Relationship Id="rId1" Type="http://schemas.microsoft.com/office/2006/relationships/xlBinaryIndex" Target="binaryIndex6.bin"/></Relationships>
</file>

<file path=xl/worksheets/_rels/sheet7.bin.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rinterSettings" Target="../printerSettings/printerSettings5.bin"/><Relationship Id="rId1" Type="http://schemas.microsoft.com/office/2006/relationships/xlBinaryIndex" Target="binaryIndex7.bin"/><Relationship Id="rId6" Type="http://schemas.microsoft.com/office/2017/10/relationships/threadedComment" Target="../threadedComments/threadedComment2.xml"/><Relationship Id="rId5" Type="http://schemas.openxmlformats.org/officeDocument/2006/relationships/comments" Target="../comments5.bin"/><Relationship Id="rId4" Type="http://schemas.openxmlformats.org/officeDocument/2006/relationships/vmlDrawing" Target="../drawings/vmlDrawing5.vml"/></Relationships>
</file>

<file path=xl/worksheets/_rels/sheet8.bin.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printerSettings" Target="../printerSettings/printerSettings6.bin"/><Relationship Id="rId1" Type="http://schemas.microsoft.com/office/2006/relationships/xlBinaryIndex" Target="binaryIndex8.bin"/><Relationship Id="rId4" Type="http://schemas.openxmlformats.org/officeDocument/2006/relationships/comments" Target="../comments6.bin"/></Relationships>
</file>

<file path=xl/worksheets/_rels/sheet9.bin.rels><?xml version="1.0" encoding="UTF-8" standalone="yes"?>
<Relationships xmlns="http://schemas.openxmlformats.org/package/2006/relationships"><Relationship Id="rId3" Type="http://schemas.openxmlformats.org/officeDocument/2006/relationships/drawing" Target="../drawings/drawing7.xml"/><Relationship Id="rId2" Type="http://schemas.openxmlformats.org/officeDocument/2006/relationships/printerSettings" Target="../printerSettings/printerSettings7.bin"/><Relationship Id="rId1" Type="http://schemas.microsoft.com/office/2006/relationships/xlBinaryIndex" Target="binaryIndex9.bin"/></Relationships>
</file>

<file path=xl/worksheets/_rels/sheet10.bin.rels><?xml version="1.0" encoding="UTF-8" standalone="yes"?>
<Relationships xmlns="http://schemas.openxmlformats.org/package/2006/relationships"><Relationship Id="rId3" Type="http://schemas.openxmlformats.org/officeDocument/2006/relationships/drawing" Target="../drawings/drawing8.xml"/><Relationship Id="rId2" Type="http://schemas.openxmlformats.org/officeDocument/2006/relationships/printerSettings" Target="../printerSettings/printerSettings8.bin"/><Relationship Id="rId1" Type="http://schemas.microsoft.com/office/2006/relationships/xlBinaryIndex" Target="binaryIndex10.bin"/><Relationship Id="rId6" Type="http://schemas.microsoft.com/office/2017/10/relationships/threadedComment" Target="../threadedComments/threadedComment3.xml"/><Relationship Id="rId5" Type="http://schemas.openxmlformats.org/officeDocument/2006/relationships/comments" Target="../comments7.bin"/><Relationship Id="rId4" Type="http://schemas.openxmlformats.org/officeDocument/2006/relationships/vmlDrawing" Target="../drawings/vmlDrawing7.vml"/></Relationships>
</file>

<file path=xl/worksheets/_rels/sheet11.bin.rels><?xml version="1.0" encoding="UTF-8" standalone="yes"?>
<Relationships xmlns="http://schemas.openxmlformats.org/package/2006/relationships"><Relationship Id="rId2" Type="http://schemas.openxmlformats.org/officeDocument/2006/relationships/drawing" Target="../drawings/drawing9.xml"/><Relationship Id="rId1" Type="http://schemas.microsoft.com/office/2006/relationships/xlBinaryIndex" Target="binaryIndex11.bin"/></Relationships>
</file>

<file path=xl/worksheets/_rels/sheet12.bin.rels><?xml version="1.0" encoding="UTF-8" standalone="yes"?>
<Relationships xmlns="http://schemas.openxmlformats.org/package/2006/relationships"><Relationship Id="rId3" Type="http://schemas.openxmlformats.org/officeDocument/2006/relationships/drawing" Target="../drawings/drawing10.xml"/><Relationship Id="rId2" Type="http://schemas.openxmlformats.org/officeDocument/2006/relationships/printerSettings" Target="../printerSettings/printerSettings9.bin"/><Relationship Id="rId1" Type="http://schemas.microsoft.com/office/2006/relationships/xlBinaryIndex" Target="binaryIndex12.bin"/></Relationships>
</file>

<file path=xl/worksheets/_rels/sheet13.bin.rels><?xml version="1.0" encoding="UTF-8" standalone="yes"?>
<Relationships xmlns="http://schemas.openxmlformats.org/package/2006/relationships"><Relationship Id="rId3" Type="http://schemas.openxmlformats.org/officeDocument/2006/relationships/drawing" Target="../drawings/drawing11.xml"/><Relationship Id="rId2" Type="http://schemas.openxmlformats.org/officeDocument/2006/relationships/printerSettings" Target="../printerSettings/printerSettings10.bin"/><Relationship Id="rId1" Type="http://schemas.microsoft.com/office/2006/relationships/xlBinaryIndex" Target="binaryIndex13.bin"/></Relationships>
</file>

<file path=xl/worksheets/_rels/sheet14.bin.rels><?xml version="1.0" encoding="UTF-8" standalone="yes"?>
<Relationships xmlns="http://schemas.openxmlformats.org/package/2006/relationships"><Relationship Id="rId3" Type="http://schemas.openxmlformats.org/officeDocument/2006/relationships/drawing" Target="../drawings/drawing12.xml"/><Relationship Id="rId2" Type="http://schemas.openxmlformats.org/officeDocument/2006/relationships/printerSettings" Target="../printerSettings/printerSettings11.bin"/><Relationship Id="rId1" Type="http://schemas.microsoft.com/office/2006/relationships/xlBinaryIndex" Target="binaryIndex14.bin"/></Relationships>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FAC75F4445D4C849B44EB4188CD7A0B9" ma:contentTypeVersion="2" ma:contentTypeDescription="Create a new document." ma:contentTypeScope="" ma:versionID="13f7533cd9a25d6ea2afa26f9382255a">
  <xsd:schema xmlns:xsd="http://www.w3.org/2001/XMLSchema" xmlns:xs="http://www.w3.org/2001/XMLSchema" xmlns:p="http://schemas.microsoft.com/office/2006/metadata/properties" xmlns:ns3="54b02d87-781b-4a6c-8866-67f17203d480" targetNamespace="http://schemas.microsoft.com/office/2006/metadata/properties" ma:root="true" ma:fieldsID="e94579c3c8072fc163cdb898ed651531" ns3:_="">
    <xsd:import namespace="54b02d87-781b-4a6c-8866-67f17203d480"/>
    <xsd:element name="properties">
      <xsd:complexType>
        <xsd:sequence>
          <xsd:element name="documentManagement">
            <xsd:complexType>
              <xsd:all>
                <xsd:element ref="ns3:MediaServiceMetadata" minOccurs="0"/>
                <xsd:element ref="ns3:MediaServiceFastMetadata"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54b02d87-781b-4a6c-8866-67f17203d480"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00C2D98A-48EA-4648-A6D6-798CC9A1719D}">
  <ds:schemaRefs>
    <ds:schemaRef ds:uri="http://schemas.microsoft.com/office/2006/documentManagement/types"/>
    <ds:schemaRef ds:uri="http://schemas.microsoft.com/office/infopath/2007/PartnerControls"/>
    <ds:schemaRef ds:uri="http://purl.org/dc/elements/1.1/"/>
    <ds:schemaRef ds:uri="http://schemas.openxmlformats.org/package/2006/metadata/core-properties"/>
    <ds:schemaRef ds:uri="54b02d87-781b-4a6c-8866-67f17203d480"/>
    <ds:schemaRef ds:uri="http://www.w3.org/XML/1998/namespace"/>
    <ds:schemaRef ds:uri="http://schemas.microsoft.com/office/2006/metadata/properties"/>
    <ds:schemaRef ds:uri="http://purl.org/dc/dcmitype/"/>
    <ds:schemaRef ds:uri="http://purl.org/dc/terms/"/>
  </ds:schemaRefs>
</ds:datastoreItem>
</file>

<file path=customXml/itemProps2.xml><?xml version="1.0" encoding="utf-8"?>
<ds:datastoreItem xmlns:ds="http://schemas.openxmlformats.org/officeDocument/2006/customXml" ds:itemID="{79A551FE-7003-42C4-90FA-B78BD7CBAA2A}">
  <ds:schemaRefs>
    <ds:schemaRef ds:uri="http://schemas.microsoft.com/sharepoint/v3/contenttype/forms"/>
  </ds:schemaRefs>
</ds:datastoreItem>
</file>

<file path=customXml/itemProps3.xml><?xml version="1.0" encoding="utf-8"?>
<ds:datastoreItem xmlns:ds="http://schemas.openxmlformats.org/officeDocument/2006/customXml" ds:itemID="{17B6DEBA-E82F-4FD7-AB3B-AD1803D9044C}">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54b02d87-781b-4a6c-8866-67f17203d480"/>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14</vt:i4>
      </vt:variant>
      <vt:variant>
        <vt:lpstr>Named Ranges</vt:lpstr>
      </vt:variant>
      <vt:variant>
        <vt:i4>20</vt:i4>
      </vt:variant>
    </vt:vector>
  </HeadingPairs>
  <TitlesOfParts>
    <vt:vector size="34" baseType="lpstr">
      <vt:lpstr>Tool Information</vt:lpstr>
      <vt:lpstr>Dashboard</vt:lpstr>
      <vt:lpstr>Input (Default)</vt:lpstr>
      <vt:lpstr>Inputs (Add)</vt:lpstr>
      <vt:lpstr>Elec_NG_Price</vt:lpstr>
      <vt:lpstr>LCOH</vt:lpstr>
      <vt:lpstr>NPV</vt:lpstr>
      <vt:lpstr>Proforma</vt:lpstr>
      <vt:lpstr>Replacement</vt:lpstr>
      <vt:lpstr>Depreciation</vt:lpstr>
      <vt:lpstr>Debt-Principal Costs</vt:lpstr>
      <vt:lpstr>Sensitivity_Tornado</vt:lpstr>
      <vt:lpstr>Preference_Analysis</vt:lpstr>
      <vt:lpstr>Correlations</vt:lpstr>
      <vt:lpstr>CEPCI_2020</vt:lpstr>
      <vt:lpstr>CEPCI_2022</vt:lpstr>
      <vt:lpstr>direct_cap</vt:lpstr>
      <vt:lpstr>ele_usage</vt:lpstr>
      <vt:lpstr>electricity_price</vt:lpstr>
      <vt:lpstr>H2_market_price</vt:lpstr>
      <vt:lpstr>length_construction_period</vt:lpstr>
      <vt:lpstr>MACRS_Table</vt:lpstr>
      <vt:lpstr>mode_electrolyzer</vt:lpstr>
      <vt:lpstr>mode_gen</vt:lpstr>
      <vt:lpstr>mode_tax</vt:lpstr>
      <vt:lpstr>plant_type</vt:lpstr>
      <vt:lpstr>recovery_period</vt:lpstr>
      <vt:lpstr>recovery_year</vt:lpstr>
      <vt:lpstr>regulated_thermal_price</vt:lpstr>
      <vt:lpstr>Start_up_period</vt:lpstr>
      <vt:lpstr>startup_year</vt:lpstr>
      <vt:lpstr>thermal_eff</vt:lpstr>
      <vt:lpstr>thermal_usage</vt:lpstr>
      <vt:lpstr>year_current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Wen-Chi Cheng</dc:creator>
  <cp:lastModifiedBy>Wen-Chi Cheng</cp:lastModifiedBy>
  <cp:lastPrinted>2023-12-07T00:49:27Z</cp:lastPrinted>
  <dcterms:created xsi:type="dcterms:W3CDTF">2023-02-16T14:18:08Z</dcterms:created>
  <dcterms:modified xsi:type="dcterms:W3CDTF">2024-08-21T21:00:39Z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0x010100FAC75F4445D4C849B44EB4188CD7A0B9</vt:lpwstr>
  </property>
</Properties>
</file>